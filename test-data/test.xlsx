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\Budgets\Budget 2027\2. Budget\2. Schedules to Departments\"/>
    </mc:Choice>
  </mc:AlternateContent>
  <xr:revisionPtr revIDLastSave="0" documentId="8_{86A6BC20-B259-4569-BE0C-91F780079E77}" xr6:coauthVersionLast="47" xr6:coauthVersionMax="47" xr10:uidLastSave="{00000000-0000-0000-0000-000000000000}"/>
  <bookViews>
    <workbookView xWindow="-120" yWindow="-120" windowWidth="29040" windowHeight="15840" xr2:uid="{C755FA61-278F-45B6-AA52-C35D9B4E04C1}"/>
  </bookViews>
  <sheets>
    <sheet name=" 911 Admin" sheetId="1" r:id="rId1"/>
    <sheet name="912 Eastmonte" sheetId="2" r:id="rId2"/>
    <sheet name=" 913 Merrill" sheetId="3" r:id="rId3"/>
    <sheet name=" 914 Westmonte" sheetId="4" r:id="rId4"/>
    <sheet name="916 Alta Rec" sheetId="5" r:id="rId5"/>
    <sheet name="908 Brantley" sheetId="6" r:id="rId6"/>
    <sheet name="909 Lotus" sheetId="7" r:id="rId7"/>
    <sheet name="920 Park Rangers" sheetId="8" r:id="rId8"/>
    <sheet name="315 Rec Impact" sheetId="9" r:id="rId9"/>
    <sheet name="903 PLM&amp;O" sheetId="10" r:id="rId10"/>
    <sheet name="904 Fleet" sheetId="11" r:id="rId11"/>
    <sheet name="907 Facilities" sheetId="12" r:id="rId12"/>
    <sheet name="011 Tree Bank Fund" sheetId="13" r:id="rId13"/>
  </sheets>
  <externalReferences>
    <externalReference r:id="rId14"/>
  </externalReferences>
  <definedNames>
    <definedName name="__123Graph_A" hidden="1">#REF!</definedName>
    <definedName name="__123Graph_B" hidden="1">#REF!</definedName>
    <definedName name="__123Graph_D" hidden="1">'[1]Refuse 5-Year CIP'!#REF!</definedName>
    <definedName name="__123Graph_X" hidden="1">#REF!</definedName>
    <definedName name="_xlnm.Print_Area" localSheetId="0">' 911 Admin'!$A$1:$Q$66</definedName>
    <definedName name="_xlnm.Print_Area" localSheetId="2">' 913 Merrill'!$A$1:$Q$46</definedName>
    <definedName name="_xlnm.Print_Area" localSheetId="3">' 914 Westmonte'!$A$1:$Q$64</definedName>
    <definedName name="_xlnm.Print_Area" localSheetId="12">'011 Tree Bank Fund'!$A$1:$M$25</definedName>
    <definedName name="_xlnm.Print_Area" localSheetId="8">'315 Rec Impact'!$A$1:$M$27</definedName>
    <definedName name="_xlnm.Print_Area" localSheetId="9">'903 PLM&amp;O'!$A$1:$Q$109</definedName>
    <definedName name="_xlnm.Print_Area" localSheetId="10">'904 Fleet'!$A$1:$Q$73</definedName>
    <definedName name="_xlnm.Print_Area" localSheetId="11">'907 Facilities'!$A$1:$Q$122</definedName>
    <definedName name="_xlnm.Print_Area" localSheetId="5">'908 Brantley'!$A$1:$Q$38</definedName>
    <definedName name="_xlnm.Print_Area" localSheetId="6">'909 Lotus'!$A$1:$Q$68</definedName>
    <definedName name="_xlnm.Print_Area" localSheetId="1">'912 Eastmonte'!$A$1:$Q$59</definedName>
    <definedName name="_xlnm.Print_Area" localSheetId="4">'916 Alta Rec'!$A$1:$Q$127</definedName>
    <definedName name="_xlnm.Print_Area" localSheetId="7">'920 Park Rangers'!$A$1:$Q$81</definedName>
    <definedName name="_xlnm.Print_Titles" localSheetId="0">' 911 Admin'!$1:$10</definedName>
    <definedName name="_xlnm.Print_Titles" localSheetId="2">' 913 Merrill'!$1:$22</definedName>
    <definedName name="_xlnm.Print_Titles" localSheetId="3">' 914 Westmonte'!$1:$10</definedName>
    <definedName name="_xlnm.Print_Titles" localSheetId="8">'315 Rec Impact'!$1:$10</definedName>
    <definedName name="_xlnm.Print_Titles" localSheetId="9">'903 PLM&amp;O'!$1:$10</definedName>
    <definedName name="_xlnm.Print_Titles" localSheetId="10">'904 Fleet'!$1:$10</definedName>
    <definedName name="_xlnm.Print_Titles" localSheetId="11">'907 Facilities'!$1:$10</definedName>
    <definedName name="_xlnm.Print_Titles" localSheetId="5">'908 Brantley'!$1:$10</definedName>
    <definedName name="_xlnm.Print_Titles" localSheetId="6">'909 Lotus'!$1:$10</definedName>
    <definedName name="_xlnm.Print_Titles" localSheetId="1">'912 Eastmonte'!$1:$10</definedName>
    <definedName name="_xlnm.Print_Titles" localSheetId="4">'916 Alta Rec'!$1:$10</definedName>
    <definedName name="_xlnm.Print_Titles" localSheetId="7">'920 Park Rangers'!$1:$10</definedName>
    <definedName name="Z_46CD17B7_08B5_4F08_B509_D75FA8A652C3_.wvu.PrintArea" localSheetId="9" hidden="1">'903 PLM&amp;O'!$A$1:$O$113</definedName>
    <definedName name="Z_46CD17B7_08B5_4F08_B509_D75FA8A652C3_.wvu.PrintArea" localSheetId="10" hidden="1">'904 Fleet'!$A$1:$O$73</definedName>
    <definedName name="Z_46CD17B7_08B5_4F08_B509_D75FA8A652C3_.wvu.PrintArea" localSheetId="11" hidden="1">'907 Facilities'!$A$1:$O$121</definedName>
    <definedName name="Z_46CD17B7_08B5_4F08_B509_D75FA8A652C3_.wvu.PrintTitles" localSheetId="9" hidden="1">'903 PLM&amp;O'!$1:$10</definedName>
    <definedName name="Z_46CD17B7_08B5_4F08_B509_D75FA8A652C3_.wvu.PrintTitles" localSheetId="10" hidden="1">'904 Fleet'!$1:$10</definedName>
    <definedName name="Z_46CD17B7_08B5_4F08_B509_D75FA8A652C3_.wvu.PrintTitles" localSheetId="11" hidden="1">'907 Facilities'!$1:$10</definedName>
    <definedName name="Z_5A86FE1D_D22E_4F6E_93A6_9903520EB45D_.wvu.Cols" localSheetId="0" hidden="1">' 911 Admin'!$C:$D,' 911 Admin'!$N:$Q</definedName>
    <definedName name="Z_5A86FE1D_D22E_4F6E_93A6_9903520EB45D_.wvu.Cols" localSheetId="2" hidden="1">' 913 Merrill'!$C:$D,' 913 Merrill'!$N:$Q</definedName>
    <definedName name="Z_5A86FE1D_D22E_4F6E_93A6_9903520EB45D_.wvu.Cols" localSheetId="3" hidden="1">' 914 Westmonte'!$C:$D,' 914 Westmonte'!$N:$Q</definedName>
    <definedName name="Z_5A86FE1D_D22E_4F6E_93A6_9903520EB45D_.wvu.Cols" localSheetId="12" hidden="1">'011 Tree Bank Fund'!$B:$C</definedName>
    <definedName name="Z_5A86FE1D_D22E_4F6E_93A6_9903520EB45D_.wvu.Cols" localSheetId="8" hidden="1">'315 Rec Impact'!$B:$C</definedName>
    <definedName name="Z_5A86FE1D_D22E_4F6E_93A6_9903520EB45D_.wvu.Cols" localSheetId="9" hidden="1">'903 PLM&amp;O'!$C:$D,'903 PLM&amp;O'!$N:$Q</definedName>
    <definedName name="Z_5A86FE1D_D22E_4F6E_93A6_9903520EB45D_.wvu.Cols" localSheetId="10" hidden="1">'904 Fleet'!$C:$D,'904 Fleet'!$N:$Q</definedName>
    <definedName name="Z_5A86FE1D_D22E_4F6E_93A6_9903520EB45D_.wvu.Cols" localSheetId="11" hidden="1">'907 Facilities'!$C:$D,'907 Facilities'!$N:$Q</definedName>
    <definedName name="Z_5A86FE1D_D22E_4F6E_93A6_9903520EB45D_.wvu.Cols" localSheetId="5" hidden="1">'908 Brantley'!$C:$D,'908 Brantley'!$N:$Q</definedName>
    <definedName name="Z_5A86FE1D_D22E_4F6E_93A6_9903520EB45D_.wvu.Cols" localSheetId="6" hidden="1">'909 Lotus'!$C:$D,'909 Lotus'!$N:$Q</definedName>
    <definedName name="Z_5A86FE1D_D22E_4F6E_93A6_9903520EB45D_.wvu.Cols" localSheetId="1" hidden="1">'912 Eastmonte'!$C:$D,'912 Eastmonte'!$N:$Q</definedName>
    <definedName name="Z_5A86FE1D_D22E_4F6E_93A6_9903520EB45D_.wvu.Cols" localSheetId="4" hidden="1">'916 Alta Rec'!$N:$Q</definedName>
    <definedName name="Z_5A86FE1D_D22E_4F6E_93A6_9903520EB45D_.wvu.Cols" localSheetId="7" hidden="1">'920 Park Rangers'!$C:$D,'920 Park Rangers'!$N:$Q</definedName>
    <definedName name="Z_5A86FE1D_D22E_4F6E_93A6_9903520EB45D_.wvu.PrintArea" localSheetId="0" hidden="1">' 911 Admin'!$A$1:$Q$66</definedName>
    <definedName name="Z_5A86FE1D_D22E_4F6E_93A6_9903520EB45D_.wvu.PrintArea" localSheetId="2" hidden="1">' 913 Merrill'!$A$1:$Q$46</definedName>
    <definedName name="Z_5A86FE1D_D22E_4F6E_93A6_9903520EB45D_.wvu.PrintArea" localSheetId="3" hidden="1">' 914 Westmonte'!$A$1:$Q$64</definedName>
    <definedName name="Z_5A86FE1D_D22E_4F6E_93A6_9903520EB45D_.wvu.PrintArea" localSheetId="12" hidden="1">'011 Tree Bank Fund'!$A$1:$M$25</definedName>
    <definedName name="Z_5A86FE1D_D22E_4F6E_93A6_9903520EB45D_.wvu.PrintArea" localSheetId="8" hidden="1">'315 Rec Impact'!$A$1:$M$27</definedName>
    <definedName name="Z_5A86FE1D_D22E_4F6E_93A6_9903520EB45D_.wvu.PrintArea" localSheetId="9" hidden="1">'903 PLM&amp;O'!$A$1:$Q$110</definedName>
    <definedName name="Z_5A86FE1D_D22E_4F6E_93A6_9903520EB45D_.wvu.PrintArea" localSheetId="10" hidden="1">'904 Fleet'!$A$1:$Q$73</definedName>
    <definedName name="Z_5A86FE1D_D22E_4F6E_93A6_9903520EB45D_.wvu.PrintArea" localSheetId="11" hidden="1">'907 Facilities'!$A$1:$Q$122</definedName>
    <definedName name="Z_5A86FE1D_D22E_4F6E_93A6_9903520EB45D_.wvu.PrintArea" localSheetId="5" hidden="1">'908 Brantley'!$A$1:$Q$38</definedName>
    <definedName name="Z_5A86FE1D_D22E_4F6E_93A6_9903520EB45D_.wvu.PrintArea" localSheetId="6" hidden="1">'909 Lotus'!$A$1:$Q$68</definedName>
    <definedName name="Z_5A86FE1D_D22E_4F6E_93A6_9903520EB45D_.wvu.PrintArea" localSheetId="1" hidden="1">'912 Eastmonte'!$A$1:$Q$58</definedName>
    <definedName name="Z_5A86FE1D_D22E_4F6E_93A6_9903520EB45D_.wvu.PrintArea" localSheetId="4" hidden="1">'916 Alta Rec'!$A$1:$Q$127</definedName>
    <definedName name="Z_5A86FE1D_D22E_4F6E_93A6_9903520EB45D_.wvu.PrintArea" localSheetId="7" hidden="1">'920 Park Rangers'!$A$1:$Q$81</definedName>
    <definedName name="Z_5A86FE1D_D22E_4F6E_93A6_9903520EB45D_.wvu.PrintTitles" localSheetId="0" hidden="1">' 911 Admin'!$1:$10</definedName>
    <definedName name="Z_5A86FE1D_D22E_4F6E_93A6_9903520EB45D_.wvu.PrintTitles" localSheetId="2" hidden="1">' 913 Merrill'!$1:$22</definedName>
    <definedName name="Z_5A86FE1D_D22E_4F6E_93A6_9903520EB45D_.wvu.PrintTitles" localSheetId="3" hidden="1">' 914 Westmonte'!$1:$10</definedName>
    <definedName name="Z_5A86FE1D_D22E_4F6E_93A6_9903520EB45D_.wvu.PrintTitles" localSheetId="8" hidden="1">'315 Rec Impact'!$1:$10</definedName>
    <definedName name="Z_5A86FE1D_D22E_4F6E_93A6_9903520EB45D_.wvu.PrintTitles" localSheetId="9" hidden="1">'903 PLM&amp;O'!$1:$10</definedName>
    <definedName name="Z_5A86FE1D_D22E_4F6E_93A6_9903520EB45D_.wvu.PrintTitles" localSheetId="10" hidden="1">'904 Fleet'!$1:$10</definedName>
    <definedName name="Z_5A86FE1D_D22E_4F6E_93A6_9903520EB45D_.wvu.PrintTitles" localSheetId="11" hidden="1">'907 Facilities'!$1:$10</definedName>
    <definedName name="Z_5A86FE1D_D22E_4F6E_93A6_9903520EB45D_.wvu.PrintTitles" localSheetId="5" hidden="1">'908 Brantley'!$1:$10</definedName>
    <definedName name="Z_5A86FE1D_D22E_4F6E_93A6_9903520EB45D_.wvu.PrintTitles" localSheetId="6" hidden="1">'909 Lotus'!$1:$10</definedName>
    <definedName name="Z_5A86FE1D_D22E_4F6E_93A6_9903520EB45D_.wvu.PrintTitles" localSheetId="1" hidden="1">'912 Eastmonte'!$1:$10</definedName>
    <definedName name="Z_5A86FE1D_D22E_4F6E_93A6_9903520EB45D_.wvu.PrintTitles" localSheetId="4" hidden="1">'916 Alta Rec'!$1:$10</definedName>
    <definedName name="Z_5A86FE1D_D22E_4F6E_93A6_9903520EB45D_.wvu.PrintTitles" localSheetId="7" hidden="1">'920 Park Rangers'!$1:$10</definedName>
    <definedName name="Z_5A86FE1D_D22E_4F6E_93A6_9903520EB45D_.wvu.Rows" localSheetId="0" hidden="1">' 911 Admin'!$15:$16,' 911 Admin'!$46:$46,' 911 Admin'!$53:$54,' 911 Admin'!$66:$82</definedName>
    <definedName name="Z_5A86FE1D_D22E_4F6E_93A6_9903520EB45D_.wvu.Rows" localSheetId="2" hidden="1">' 913 Merrill'!$11:$22,' 913 Merrill'!$35:$35,' 913 Merrill'!$37:$40,' 913 Merrill'!$42:$42,' 913 Merrill'!$46:$49</definedName>
    <definedName name="Z_5A86FE1D_D22E_4F6E_93A6_9903520EB45D_.wvu.Rows" localSheetId="3" hidden="1">' 914 Westmonte'!$13:$13,' 914 Westmonte'!$15:$16,' 914 Westmonte'!$27:$27,' 914 Westmonte'!$34:$35,' 914 Westmonte'!#REF!,' 914 Westmonte'!$46:$46,' 914 Westmonte'!$50:$50,' 914 Westmonte'!$52:$54,' 914 Westmonte'!$60:$60,' 914 Westmonte'!$64:$69</definedName>
    <definedName name="Z_5A86FE1D_D22E_4F6E_93A6_9903520EB45D_.wvu.Rows" localSheetId="12" hidden="1">'011 Tree Bank Fund'!$26:$29</definedName>
    <definedName name="Z_5A86FE1D_D22E_4F6E_93A6_9903520EB45D_.wvu.Rows" localSheetId="8" hidden="1">'315 Rec Impact'!#REF!</definedName>
    <definedName name="Z_5A86FE1D_D22E_4F6E_93A6_9903520EB45D_.wvu.Rows" localSheetId="9" hidden="1">'903 PLM&amp;O'!$60:$60,'903 PLM&amp;O'!#REF!,'903 PLM&amp;O'!$86:$86,'903 PLM&amp;O'!$88:$88,'903 PLM&amp;O'!$101:$101,'903 PLM&amp;O'!$103:$104,'903 PLM&amp;O'!$105:$105,'903 PLM&amp;O'!$110:$154</definedName>
    <definedName name="Z_5A86FE1D_D22E_4F6E_93A6_9903520EB45D_.wvu.Rows" localSheetId="10" hidden="1">'904 Fleet'!$14:$14,'904 Fleet'!$39:$39,'904 Fleet'!$42:$43,'904 Fleet'!$50:$50,'904 Fleet'!$56:$56,'904 Fleet'!$74:$97</definedName>
    <definedName name="Z_5A86FE1D_D22E_4F6E_93A6_9903520EB45D_.wvu.Rows" localSheetId="11" hidden="1">'907 Facilities'!$14:$14,'907 Facilities'!$52:$52,'907 Facilities'!$103:$103,'907 Facilities'!$119:$119,'907 Facilities'!$123:$133</definedName>
    <definedName name="Z_5A86FE1D_D22E_4F6E_93A6_9903520EB45D_.wvu.Rows" localSheetId="5" hidden="1">'908 Brantley'!$12:$12,'908 Brantley'!#REF!,'908 Brantley'!$25:$25,'908 Brantley'!#REF!,'908 Brantley'!$32:$32,'908 Brantley'!$34:$34,'908 Brantley'!$38:$51</definedName>
    <definedName name="Z_5A86FE1D_D22E_4F6E_93A6_9903520EB45D_.wvu.Rows" localSheetId="6" hidden="1">'909 Lotus'!$13:$13,'909 Lotus'!$30:$34,'909 Lotus'!$37:$37,'909 Lotus'!$44:$44,'909 Lotus'!$52:$52,'909 Lotus'!$55:$56,'909 Lotus'!$63:$63,'909 Lotus'!$65:$65,'909 Lotus'!$69:$84</definedName>
    <definedName name="Z_5A86FE1D_D22E_4F6E_93A6_9903520EB45D_.wvu.Rows" localSheetId="1" hidden="1">'912 Eastmonte'!$27:$30,'912 Eastmonte'!#REF!,'912 Eastmonte'!$47:$49,'912 Eastmonte'!$55:$55,'912 Eastmonte'!$60:$66</definedName>
    <definedName name="Z_5A86FE1D_D22E_4F6E_93A6_9903520EB45D_.wvu.Rows" localSheetId="4" hidden="1">'916 Alta Rec'!$25:$25,'916 Alta Rec'!$27:$27,'916 Alta Rec'!#REF!,'916 Alta Rec'!$71:$71,'916 Alta Rec'!$73:$73,'916 Alta Rec'!#REF!,'916 Alta Rec'!$81:$85,'916 Alta Rec'!$87:$87,'916 Alta Rec'!#REF!,'916 Alta Rec'!$93:$93,'916 Alta Rec'!#REF!,'916 Alta Rec'!$111:$111,'916 Alta Rec'!$117:$117,'916 Alta Rec'!$128:$137</definedName>
    <definedName name="Z_5A86FE1D_D22E_4F6E_93A6_9903520EB45D_.wvu.Rows" localSheetId="7" hidden="1">'920 Park Rangers'!#REF!,'920 Park Rangers'!#REF!,'920 Park Rangers'!$51:$51,'920 Park Rangers'!$63:$63,'920 Park Rangers'!$65:$65,'920 Park Rangers'!$76:$76,'920 Park Rangers'!$78:$78,'920 Park Rangers'!$82:$98</definedName>
    <definedName name="Z_5BF1407E_7A91_4D18_95E6_9E70C51D5BF7_.wvu.PrintArea" localSheetId="9" hidden="1">'903 PLM&amp;O'!$A$1:$O$113</definedName>
    <definedName name="Z_5BF1407E_7A91_4D18_95E6_9E70C51D5BF7_.wvu.PrintArea" localSheetId="10" hidden="1">'904 Fleet'!$A$1:$O$73</definedName>
    <definedName name="Z_5BF1407E_7A91_4D18_95E6_9E70C51D5BF7_.wvu.PrintArea" localSheetId="11" hidden="1">'907 Facilities'!$A$1:$O$121</definedName>
    <definedName name="Z_5BF1407E_7A91_4D18_95E6_9E70C51D5BF7_.wvu.PrintTitles" localSheetId="9" hidden="1">'903 PLM&amp;O'!$1:$10</definedName>
    <definedName name="Z_5BF1407E_7A91_4D18_95E6_9E70C51D5BF7_.wvu.PrintTitles" localSheetId="10" hidden="1">'904 Fleet'!$1:$10</definedName>
    <definedName name="Z_5BF1407E_7A91_4D18_95E6_9E70C51D5BF7_.wvu.PrintTitles" localSheetId="11" hidden="1">'907 Facilities'!$1:$10</definedName>
    <definedName name="Z_C1C3171B_AC0E_46C7_8FAB_818248349758_.wvu.Cols" localSheetId="0" hidden="1">' 911 Admin'!$C:$D,' 911 Admin'!$N:$Q</definedName>
    <definedName name="Z_C1C3171B_AC0E_46C7_8FAB_818248349758_.wvu.Cols" localSheetId="2" hidden="1">' 913 Merrill'!$C:$D,' 913 Merrill'!$N:$Q</definedName>
    <definedName name="Z_C1C3171B_AC0E_46C7_8FAB_818248349758_.wvu.Cols" localSheetId="3" hidden="1">' 914 Westmonte'!$C:$D,' 914 Westmonte'!$N:$Q</definedName>
    <definedName name="Z_C1C3171B_AC0E_46C7_8FAB_818248349758_.wvu.Cols" localSheetId="12" hidden="1">'011 Tree Bank Fund'!$B:$C</definedName>
    <definedName name="Z_C1C3171B_AC0E_46C7_8FAB_818248349758_.wvu.Cols" localSheetId="8" hidden="1">'315 Rec Impact'!$B:$C</definedName>
    <definedName name="Z_C1C3171B_AC0E_46C7_8FAB_818248349758_.wvu.Cols" localSheetId="9" hidden="1">'903 PLM&amp;O'!$C:$D,'903 PLM&amp;O'!$N:$Q</definedName>
    <definedName name="Z_C1C3171B_AC0E_46C7_8FAB_818248349758_.wvu.Cols" localSheetId="10" hidden="1">'904 Fleet'!$C:$D,'904 Fleet'!$N:$Q</definedName>
    <definedName name="Z_C1C3171B_AC0E_46C7_8FAB_818248349758_.wvu.Cols" localSheetId="11" hidden="1">'907 Facilities'!$C:$D,'907 Facilities'!$N:$Q</definedName>
    <definedName name="Z_C1C3171B_AC0E_46C7_8FAB_818248349758_.wvu.Cols" localSheetId="5" hidden="1">'908 Brantley'!$C:$D,'908 Brantley'!$N:$Q</definedName>
    <definedName name="Z_C1C3171B_AC0E_46C7_8FAB_818248349758_.wvu.Cols" localSheetId="6" hidden="1">'909 Lotus'!$C:$D,'909 Lotus'!$N:$Q</definedName>
    <definedName name="Z_C1C3171B_AC0E_46C7_8FAB_818248349758_.wvu.Cols" localSheetId="1" hidden="1">'912 Eastmonte'!$C:$D,'912 Eastmonte'!$N:$Q</definedName>
    <definedName name="Z_C1C3171B_AC0E_46C7_8FAB_818248349758_.wvu.Cols" localSheetId="4" hidden="1">'916 Alta Rec'!$C:$D,'916 Alta Rec'!$N:$Q</definedName>
    <definedName name="Z_C1C3171B_AC0E_46C7_8FAB_818248349758_.wvu.Cols" localSheetId="7" hidden="1">'920 Park Rangers'!$C:$D,'920 Park Rangers'!$N:$Q</definedName>
    <definedName name="Z_C1C3171B_AC0E_46C7_8FAB_818248349758_.wvu.PrintArea" localSheetId="0" hidden="1">' 911 Admin'!$A$1:$Q$66</definedName>
    <definedName name="Z_C1C3171B_AC0E_46C7_8FAB_818248349758_.wvu.PrintArea" localSheetId="2" hidden="1">' 913 Merrill'!$A$1:$Q$46</definedName>
    <definedName name="Z_C1C3171B_AC0E_46C7_8FAB_818248349758_.wvu.PrintArea" localSheetId="3" hidden="1">' 914 Westmonte'!$A$1:$Q$64</definedName>
    <definedName name="Z_C1C3171B_AC0E_46C7_8FAB_818248349758_.wvu.PrintArea" localSheetId="12" hidden="1">'011 Tree Bank Fund'!$A$1:$M$25</definedName>
    <definedName name="Z_C1C3171B_AC0E_46C7_8FAB_818248349758_.wvu.PrintArea" localSheetId="8" hidden="1">'315 Rec Impact'!$A$1:$M$27</definedName>
    <definedName name="Z_C1C3171B_AC0E_46C7_8FAB_818248349758_.wvu.PrintArea" localSheetId="9" hidden="1">'903 PLM&amp;O'!$A$1:$Q$110</definedName>
    <definedName name="Z_C1C3171B_AC0E_46C7_8FAB_818248349758_.wvu.PrintArea" localSheetId="10" hidden="1">'904 Fleet'!$A$1:$Q$73</definedName>
    <definedName name="Z_C1C3171B_AC0E_46C7_8FAB_818248349758_.wvu.PrintArea" localSheetId="11" hidden="1">'907 Facilities'!$A$1:$Q$122</definedName>
    <definedName name="Z_C1C3171B_AC0E_46C7_8FAB_818248349758_.wvu.PrintArea" localSheetId="5" hidden="1">'908 Brantley'!$A$1:$Q$38</definedName>
    <definedName name="Z_C1C3171B_AC0E_46C7_8FAB_818248349758_.wvu.PrintArea" localSheetId="6" hidden="1">'909 Lotus'!$A$1:$Q$68</definedName>
    <definedName name="Z_C1C3171B_AC0E_46C7_8FAB_818248349758_.wvu.PrintArea" localSheetId="1" hidden="1">'912 Eastmonte'!$A$1:$Q$58</definedName>
    <definedName name="Z_C1C3171B_AC0E_46C7_8FAB_818248349758_.wvu.PrintArea" localSheetId="4" hidden="1">'916 Alta Rec'!$A$1:$Q$127</definedName>
    <definedName name="Z_C1C3171B_AC0E_46C7_8FAB_818248349758_.wvu.PrintArea" localSheetId="7" hidden="1">'920 Park Rangers'!$A$1:$Q$81</definedName>
    <definedName name="Z_C1C3171B_AC0E_46C7_8FAB_818248349758_.wvu.PrintTitles" localSheetId="0" hidden="1">' 911 Admin'!$1:$10</definedName>
    <definedName name="Z_C1C3171B_AC0E_46C7_8FAB_818248349758_.wvu.PrintTitles" localSheetId="2" hidden="1">' 913 Merrill'!$1:$22</definedName>
    <definedName name="Z_C1C3171B_AC0E_46C7_8FAB_818248349758_.wvu.PrintTitles" localSheetId="3" hidden="1">' 914 Westmonte'!$1:$10</definedName>
    <definedName name="Z_C1C3171B_AC0E_46C7_8FAB_818248349758_.wvu.PrintTitles" localSheetId="8" hidden="1">'315 Rec Impact'!$1:$10</definedName>
    <definedName name="Z_C1C3171B_AC0E_46C7_8FAB_818248349758_.wvu.PrintTitles" localSheetId="9" hidden="1">'903 PLM&amp;O'!$1:$10</definedName>
    <definedName name="Z_C1C3171B_AC0E_46C7_8FAB_818248349758_.wvu.PrintTitles" localSheetId="10" hidden="1">'904 Fleet'!$1:$10</definedName>
    <definedName name="Z_C1C3171B_AC0E_46C7_8FAB_818248349758_.wvu.PrintTitles" localSheetId="11" hidden="1">'907 Facilities'!$1:$10</definedName>
    <definedName name="Z_C1C3171B_AC0E_46C7_8FAB_818248349758_.wvu.PrintTitles" localSheetId="5" hidden="1">'908 Brantley'!$1:$10</definedName>
    <definedName name="Z_C1C3171B_AC0E_46C7_8FAB_818248349758_.wvu.PrintTitles" localSheetId="6" hidden="1">'909 Lotus'!$1:$10</definedName>
    <definedName name="Z_C1C3171B_AC0E_46C7_8FAB_818248349758_.wvu.PrintTitles" localSheetId="1" hidden="1">'912 Eastmonte'!$1:$10</definedName>
    <definedName name="Z_C1C3171B_AC0E_46C7_8FAB_818248349758_.wvu.PrintTitles" localSheetId="4" hidden="1">'916 Alta Rec'!$1:$10</definedName>
    <definedName name="Z_C1C3171B_AC0E_46C7_8FAB_818248349758_.wvu.PrintTitles" localSheetId="7" hidden="1">'920 Park Rangers'!$1:$10</definedName>
    <definedName name="Z_C1C3171B_AC0E_46C7_8FAB_818248349758_.wvu.Rows" localSheetId="0" hidden="1">' 911 Admin'!$15:$15,' 911 Admin'!$46:$46,' 911 Admin'!$53:$54,' 911 Admin'!$66:$82</definedName>
    <definedName name="Z_C1C3171B_AC0E_46C7_8FAB_818248349758_.wvu.Rows" localSheetId="2" hidden="1">' 913 Merrill'!$11:$22,' 913 Merrill'!$35:$35,' 913 Merrill'!$37:$40,' 913 Merrill'!$42:$42,' 913 Merrill'!$46:$49</definedName>
    <definedName name="Z_C1C3171B_AC0E_46C7_8FAB_818248349758_.wvu.Rows" localSheetId="3" hidden="1">' 914 Westmonte'!$13:$13,' 914 Westmonte'!$15:$16,' 914 Westmonte'!$27:$27,' 914 Westmonte'!$34:$35,' 914 Westmonte'!#REF!,' 914 Westmonte'!$50:$50,' 914 Westmonte'!$52:$54,' 914 Westmonte'!$60:$60,' 914 Westmonte'!$64:$69</definedName>
    <definedName name="Z_C1C3171B_AC0E_46C7_8FAB_818248349758_.wvu.Rows" localSheetId="12" hidden="1">'011 Tree Bank Fund'!$26:$29</definedName>
    <definedName name="Z_C1C3171B_AC0E_46C7_8FAB_818248349758_.wvu.Rows" localSheetId="8" hidden="1">'315 Rec Impact'!#REF!</definedName>
    <definedName name="Z_C1C3171B_AC0E_46C7_8FAB_818248349758_.wvu.Rows" localSheetId="9" hidden="1">'903 PLM&amp;O'!$60:$60,'903 PLM&amp;O'!#REF!,'903 PLM&amp;O'!$86:$86,'903 PLM&amp;O'!$88:$88,'903 PLM&amp;O'!$101:$101,'903 PLM&amp;O'!$103:$104,'903 PLM&amp;O'!$105:$105,'903 PLM&amp;O'!$110:$154</definedName>
    <definedName name="Z_C1C3171B_AC0E_46C7_8FAB_818248349758_.wvu.Rows" localSheetId="10" hidden="1">'904 Fleet'!$14:$14,'904 Fleet'!$39:$39,'904 Fleet'!$42:$43,'904 Fleet'!$50:$50,'904 Fleet'!$56:$56,'904 Fleet'!$74:$97</definedName>
    <definedName name="Z_C1C3171B_AC0E_46C7_8FAB_818248349758_.wvu.Rows" localSheetId="11" hidden="1">'907 Facilities'!$14:$14,'907 Facilities'!$52:$52,'907 Facilities'!$103:$103,'907 Facilities'!$119:$119,'907 Facilities'!$123:$133</definedName>
    <definedName name="Z_C1C3171B_AC0E_46C7_8FAB_818248349758_.wvu.Rows" localSheetId="5" hidden="1">'908 Brantley'!$12:$12,'908 Brantley'!#REF!,'908 Brantley'!$25:$25,'908 Brantley'!$32:$32,'908 Brantley'!$34:$34,'908 Brantley'!$38:$51</definedName>
    <definedName name="Z_C1C3171B_AC0E_46C7_8FAB_818248349758_.wvu.Rows" localSheetId="6" hidden="1">'909 Lotus'!$13:$13,'909 Lotus'!$30:$34,'909 Lotus'!$37:$37,'909 Lotus'!$44:$44,'909 Lotus'!$55:$56,'909 Lotus'!$63:$63,'909 Lotus'!$65:$65,'909 Lotus'!$69:$84</definedName>
    <definedName name="Z_C1C3171B_AC0E_46C7_8FAB_818248349758_.wvu.Rows" localSheetId="1" hidden="1">'912 Eastmonte'!$27:$30,'912 Eastmonte'!#REF!,'912 Eastmonte'!$47:$49,'912 Eastmonte'!$55:$55,'912 Eastmonte'!$60:$66</definedName>
    <definedName name="Z_C1C3171B_AC0E_46C7_8FAB_818248349758_.wvu.Rows" localSheetId="4" hidden="1">'916 Alta Rec'!$27:$27,'916 Alta Rec'!#REF!,'916 Alta Rec'!$71:$71,'916 Alta Rec'!$73:$73,'916 Alta Rec'!#REF!,'916 Alta Rec'!$81:$85,'916 Alta Rec'!$87:$87,'916 Alta Rec'!#REF!,'916 Alta Rec'!$93:$93,'916 Alta Rec'!#REF!,'916 Alta Rec'!$111:$111,'916 Alta Rec'!$117:$117,'916 Alta Rec'!$128:$137</definedName>
    <definedName name="Z_C1C3171B_AC0E_46C7_8FAB_818248349758_.wvu.Rows" localSheetId="7" hidden="1">'920 Park Rangers'!#REF!,'920 Park Rangers'!#REF!,'920 Park Rangers'!$63:$63,'920 Park Rangers'!$65:$65,'920 Park Rangers'!$76:$76,'920 Park Rangers'!$78:$78,'920 Park Rangers'!$82:$98</definedName>
    <definedName name="Z_DD04D22A_18E0_4981_80EC_703833793769_.wvu.PrintArea" localSheetId="0" hidden="1">' 911 Admin'!$A$1:$O$66</definedName>
    <definedName name="Z_DD04D22A_18E0_4981_80EC_703833793769_.wvu.PrintArea" localSheetId="2" hidden="1">' 913 Merrill'!$A$1:$O$45</definedName>
    <definedName name="Z_DD04D22A_18E0_4981_80EC_703833793769_.wvu.PrintArea" localSheetId="3" hidden="1">' 914 Westmonte'!$A$1:$O$64</definedName>
    <definedName name="Z_DD04D22A_18E0_4981_80EC_703833793769_.wvu.PrintArea" localSheetId="8" hidden="1">'315 Rec Impact'!$A$1:$M$27</definedName>
    <definedName name="Z_DD04D22A_18E0_4981_80EC_703833793769_.wvu.PrintArea" localSheetId="5" hidden="1">'908 Brantley'!$A$1:$O$38</definedName>
    <definedName name="Z_DD04D22A_18E0_4981_80EC_703833793769_.wvu.PrintArea" localSheetId="6" hidden="1">'909 Lotus'!$A$1:$O$69</definedName>
    <definedName name="Z_DD04D22A_18E0_4981_80EC_703833793769_.wvu.PrintArea" localSheetId="1" hidden="1">'912 Eastmonte'!$A$11:$O$58</definedName>
    <definedName name="Z_DD04D22A_18E0_4981_80EC_703833793769_.wvu.PrintArea" localSheetId="4" hidden="1">'916 Alta Rec'!$A$1:$O$135</definedName>
    <definedName name="Z_DD04D22A_18E0_4981_80EC_703833793769_.wvu.PrintTitles" localSheetId="0" hidden="1">' 911 Admin'!$1:$10</definedName>
    <definedName name="Z_DD04D22A_18E0_4981_80EC_703833793769_.wvu.PrintTitles" localSheetId="2" hidden="1">' 913 Merrill'!$1:$22</definedName>
    <definedName name="Z_DD04D22A_18E0_4981_80EC_703833793769_.wvu.PrintTitles" localSheetId="3" hidden="1">' 914 Westmonte'!$1:$10</definedName>
    <definedName name="Z_DD04D22A_18E0_4981_80EC_703833793769_.wvu.PrintTitles" localSheetId="8" hidden="1">'315 Rec Impact'!$1:$10</definedName>
    <definedName name="Z_DD04D22A_18E0_4981_80EC_703833793769_.wvu.PrintTitles" localSheetId="5" hidden="1">'908 Brantley'!$1:$10</definedName>
    <definedName name="Z_DD04D22A_18E0_4981_80EC_703833793769_.wvu.PrintTitles" localSheetId="6" hidden="1">'909 Lotus'!$1:$28</definedName>
    <definedName name="Z_DD04D22A_18E0_4981_80EC_703833793769_.wvu.PrintTitles" localSheetId="1" hidden="1">'912 Eastmonte'!$1:$10</definedName>
    <definedName name="Z_DD04D22A_18E0_4981_80EC_703833793769_.wvu.PrintTitles" localSheetId="4" hidden="1">'916 Alta Rec'!$1:$10</definedName>
    <definedName name="Z_DD04D22A_18E0_4981_80EC_703833793769_.wvu.Rows" localSheetId="0" hidden="1">' 911 Admin'!#REF!</definedName>
    <definedName name="Z_E3084EB1_1EE2_47AB_B3D5_BD3DD97AD54D_.wvu.PrintArea" localSheetId="0" hidden="1">' 911 Admin'!$A$1:$O$66</definedName>
    <definedName name="Z_E3084EB1_1EE2_47AB_B3D5_BD3DD97AD54D_.wvu.PrintArea" localSheetId="2" hidden="1">' 913 Merrill'!$A$1:$O$45</definedName>
    <definedName name="Z_E3084EB1_1EE2_47AB_B3D5_BD3DD97AD54D_.wvu.PrintArea" localSheetId="3" hidden="1">' 914 Westmonte'!$A$1:$O$64</definedName>
    <definedName name="Z_E3084EB1_1EE2_47AB_B3D5_BD3DD97AD54D_.wvu.PrintArea" localSheetId="8" hidden="1">'315 Rec Impact'!$A$1:$M$27</definedName>
    <definedName name="Z_E3084EB1_1EE2_47AB_B3D5_BD3DD97AD54D_.wvu.PrintArea" localSheetId="5" hidden="1">'908 Brantley'!$A$1:$O$38</definedName>
    <definedName name="Z_E3084EB1_1EE2_47AB_B3D5_BD3DD97AD54D_.wvu.PrintArea" localSheetId="6" hidden="1">'909 Lotus'!$A$1:$O$69</definedName>
    <definedName name="Z_E3084EB1_1EE2_47AB_B3D5_BD3DD97AD54D_.wvu.PrintArea" localSheetId="1" hidden="1">'912 Eastmonte'!$A$11:$O$58</definedName>
    <definedName name="Z_E3084EB1_1EE2_47AB_B3D5_BD3DD97AD54D_.wvu.PrintArea" localSheetId="4" hidden="1">'916 Alta Rec'!$A$1:$O$135</definedName>
    <definedName name="Z_E3084EB1_1EE2_47AB_B3D5_BD3DD97AD54D_.wvu.PrintTitles" localSheetId="0" hidden="1">' 911 Admin'!$1:$10</definedName>
    <definedName name="Z_E3084EB1_1EE2_47AB_B3D5_BD3DD97AD54D_.wvu.PrintTitles" localSheetId="2" hidden="1">' 913 Merrill'!$1:$22</definedName>
    <definedName name="Z_E3084EB1_1EE2_47AB_B3D5_BD3DD97AD54D_.wvu.PrintTitles" localSheetId="3" hidden="1">' 914 Westmonte'!$1:$10</definedName>
    <definedName name="Z_E3084EB1_1EE2_47AB_B3D5_BD3DD97AD54D_.wvu.PrintTitles" localSheetId="8" hidden="1">'315 Rec Impact'!$1:$10</definedName>
    <definedName name="Z_E3084EB1_1EE2_47AB_B3D5_BD3DD97AD54D_.wvu.PrintTitles" localSheetId="5" hidden="1">'908 Brantley'!$1:$10</definedName>
    <definedName name="Z_E3084EB1_1EE2_47AB_B3D5_BD3DD97AD54D_.wvu.PrintTitles" localSheetId="6" hidden="1">'909 Lotus'!$1:$28</definedName>
    <definedName name="Z_E3084EB1_1EE2_47AB_B3D5_BD3DD97AD54D_.wvu.PrintTitles" localSheetId="1" hidden="1">'912 Eastmonte'!$1:$10</definedName>
    <definedName name="Z_E3084EB1_1EE2_47AB_B3D5_BD3DD97AD54D_.wvu.PrintTitles" localSheetId="4" hidden="1">'916 Alta Rec'!$1:$10</definedName>
    <definedName name="Z_E3084EB1_1EE2_47AB_B3D5_BD3DD97AD54D_.wvu.Rows" localSheetId="0" hidden="1">' 911 Admin'!#REF!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3" l="1"/>
  <c r="P22" i="13"/>
  <c r="M20" i="13"/>
  <c r="P19" i="13"/>
  <c r="O19" i="13"/>
  <c r="M19" i="13"/>
  <c r="K19" i="13"/>
  <c r="I19" i="13"/>
  <c r="G18" i="13"/>
  <c r="G19" i="13" s="1"/>
  <c r="E18" i="13"/>
  <c r="E19" i="13" s="1"/>
  <c r="G17" i="13"/>
  <c r="E17" i="13"/>
  <c r="R14" i="13"/>
  <c r="P14" i="13"/>
  <c r="P20" i="13" s="1"/>
  <c r="P24" i="13" s="1"/>
  <c r="O14" i="13"/>
  <c r="O20" i="13" s="1"/>
  <c r="O24" i="13" s="1"/>
  <c r="M14" i="13"/>
  <c r="I14" i="13"/>
  <c r="I20" i="13" s="1"/>
  <c r="S13" i="13"/>
  <c r="T13" i="13" s="1"/>
  <c r="P13" i="13"/>
  <c r="O13" i="13"/>
  <c r="G13" i="13"/>
  <c r="E13" i="13"/>
  <c r="T12" i="13"/>
  <c r="S12" i="13"/>
  <c r="G12" i="13"/>
  <c r="E12" i="13"/>
  <c r="E14" i="13" s="1"/>
  <c r="S11" i="13"/>
  <c r="S14" i="13" s="1"/>
  <c r="O9" i="13"/>
  <c r="A2" i="13"/>
  <c r="G132" i="12"/>
  <c r="G129" i="12"/>
  <c r="K121" i="12"/>
  <c r="O119" i="12"/>
  <c r="Q119" i="12" s="1"/>
  <c r="I119" i="12"/>
  <c r="G119" i="12"/>
  <c r="E119" i="12"/>
  <c r="O118" i="12"/>
  <c r="Q118" i="12" s="1"/>
  <c r="I118" i="12"/>
  <c r="G118" i="12"/>
  <c r="E118" i="12"/>
  <c r="O117" i="12"/>
  <c r="Q117" i="12" s="1"/>
  <c r="I117" i="12"/>
  <c r="G117" i="12"/>
  <c r="E117" i="12"/>
  <c r="Q116" i="12"/>
  <c r="O116" i="12"/>
  <c r="I116" i="12"/>
  <c r="G116" i="12"/>
  <c r="E116" i="12"/>
  <c r="O115" i="12"/>
  <c r="Q115" i="12" s="1"/>
  <c r="I115" i="12"/>
  <c r="G115" i="12"/>
  <c r="E115" i="12"/>
  <c r="O114" i="12"/>
  <c r="Q114" i="12" s="1"/>
  <c r="I114" i="12"/>
  <c r="G114" i="12"/>
  <c r="E114" i="12"/>
  <c r="Q113" i="12"/>
  <c r="O113" i="12"/>
  <c r="I113" i="12"/>
  <c r="G113" i="12"/>
  <c r="E113" i="12"/>
  <c r="Q112" i="12"/>
  <c r="O112" i="12"/>
  <c r="I112" i="12"/>
  <c r="G112" i="12"/>
  <c r="E112" i="12"/>
  <c r="O111" i="12"/>
  <c r="Q111" i="12" s="1"/>
  <c r="I111" i="12"/>
  <c r="G111" i="12"/>
  <c r="E111" i="12"/>
  <c r="O110" i="12"/>
  <c r="Q110" i="12" s="1"/>
  <c r="I110" i="12"/>
  <c r="G110" i="12"/>
  <c r="E110" i="12"/>
  <c r="O109" i="12"/>
  <c r="Q109" i="12" s="1"/>
  <c r="I109" i="12"/>
  <c r="G109" i="12"/>
  <c r="E109" i="12"/>
  <c r="Q108" i="12"/>
  <c r="O108" i="12"/>
  <c r="I108" i="12"/>
  <c r="G108" i="12"/>
  <c r="E108" i="12"/>
  <c r="O107" i="12"/>
  <c r="Q107" i="12" s="1"/>
  <c r="I107" i="12"/>
  <c r="G107" i="12"/>
  <c r="E107" i="12"/>
  <c r="O106" i="12"/>
  <c r="Q106" i="12" s="1"/>
  <c r="I106" i="12"/>
  <c r="G106" i="12"/>
  <c r="E106" i="12"/>
  <c r="Q105" i="12"/>
  <c r="O105" i="12"/>
  <c r="I105" i="12"/>
  <c r="G105" i="12"/>
  <c r="E105" i="12"/>
  <c r="Q104" i="12"/>
  <c r="O104" i="12"/>
  <c r="I104" i="12"/>
  <c r="G104" i="12"/>
  <c r="E104" i="12"/>
  <c r="O103" i="12"/>
  <c r="Q103" i="12" s="1"/>
  <c r="I103" i="12"/>
  <c r="G103" i="12"/>
  <c r="E103" i="12"/>
  <c r="O102" i="12"/>
  <c r="Q102" i="12" s="1"/>
  <c r="I102" i="12"/>
  <c r="G102" i="12"/>
  <c r="E102" i="12"/>
  <c r="O101" i="12"/>
  <c r="Q101" i="12" s="1"/>
  <c r="I101" i="12"/>
  <c r="G101" i="12"/>
  <c r="E101" i="12"/>
  <c r="Q100" i="12"/>
  <c r="O100" i="12"/>
  <c r="I100" i="12"/>
  <c r="G100" i="12"/>
  <c r="E100" i="12"/>
  <c r="O99" i="12"/>
  <c r="Q99" i="12" s="1"/>
  <c r="I99" i="12"/>
  <c r="G99" i="12"/>
  <c r="E99" i="12"/>
  <c r="O98" i="12"/>
  <c r="Q98" i="12" s="1"/>
  <c r="I98" i="12"/>
  <c r="G98" i="12"/>
  <c r="E98" i="12"/>
  <c r="O97" i="12"/>
  <c r="Q97" i="12" s="1"/>
  <c r="I97" i="12"/>
  <c r="G97" i="12"/>
  <c r="E97" i="12"/>
  <c r="Q96" i="12"/>
  <c r="O96" i="12"/>
  <c r="I96" i="12"/>
  <c r="G96" i="12"/>
  <c r="E96" i="12"/>
  <c r="I95" i="12"/>
  <c r="G95" i="12"/>
  <c r="E95" i="12"/>
  <c r="Q94" i="12"/>
  <c r="O94" i="12"/>
  <c r="I94" i="12"/>
  <c r="G94" i="12"/>
  <c r="E94" i="12"/>
  <c r="Q93" i="12"/>
  <c r="O93" i="12"/>
  <c r="I93" i="12"/>
  <c r="G93" i="12"/>
  <c r="E93" i="12"/>
  <c r="Q92" i="12"/>
  <c r="O92" i="12"/>
  <c r="I92" i="12"/>
  <c r="G92" i="12"/>
  <c r="E92" i="12"/>
  <c r="Q91" i="12"/>
  <c r="O91" i="12"/>
  <c r="I91" i="12"/>
  <c r="G91" i="12"/>
  <c r="E91" i="12"/>
  <c r="Q90" i="12"/>
  <c r="O90" i="12"/>
  <c r="I90" i="12"/>
  <c r="G90" i="12"/>
  <c r="E90" i="12"/>
  <c r="Q89" i="12"/>
  <c r="O89" i="12"/>
  <c r="I89" i="12"/>
  <c r="G89" i="12"/>
  <c r="E89" i="12"/>
  <c r="Q88" i="12"/>
  <c r="O88" i="12"/>
  <c r="I88" i="12"/>
  <c r="G88" i="12"/>
  <c r="E88" i="12"/>
  <c r="Q87" i="12"/>
  <c r="O87" i="12"/>
  <c r="I87" i="12"/>
  <c r="G87" i="12"/>
  <c r="E87" i="12"/>
  <c r="Q86" i="12"/>
  <c r="O86" i="12"/>
  <c r="I86" i="12"/>
  <c r="G86" i="12"/>
  <c r="E86" i="12"/>
  <c r="Q85" i="12"/>
  <c r="O85" i="12"/>
  <c r="I85" i="12"/>
  <c r="G85" i="12"/>
  <c r="E85" i="12"/>
  <c r="Q84" i="12"/>
  <c r="O84" i="12"/>
  <c r="I84" i="12"/>
  <c r="G84" i="12"/>
  <c r="E84" i="12"/>
  <c r="Q83" i="12"/>
  <c r="O83" i="12"/>
  <c r="I83" i="12"/>
  <c r="G83" i="12"/>
  <c r="E83" i="12"/>
  <c r="Q82" i="12"/>
  <c r="O82" i="12"/>
  <c r="I82" i="12"/>
  <c r="G82" i="12"/>
  <c r="E82" i="12"/>
  <c r="I81" i="12"/>
  <c r="G81" i="12"/>
  <c r="E81" i="12"/>
  <c r="Q80" i="12"/>
  <c r="O80" i="12"/>
  <c r="I80" i="12"/>
  <c r="G80" i="12"/>
  <c r="E80" i="12"/>
  <c r="O79" i="12"/>
  <c r="Q79" i="12" s="1"/>
  <c r="I79" i="12"/>
  <c r="G79" i="12"/>
  <c r="E79" i="12"/>
  <c r="O78" i="12"/>
  <c r="Q78" i="12" s="1"/>
  <c r="I78" i="12"/>
  <c r="G78" i="12"/>
  <c r="E78" i="12"/>
  <c r="O77" i="12"/>
  <c r="Q77" i="12" s="1"/>
  <c r="I77" i="12"/>
  <c r="G77" i="12"/>
  <c r="E77" i="12"/>
  <c r="Q76" i="12"/>
  <c r="O76" i="12"/>
  <c r="I76" i="12"/>
  <c r="G76" i="12"/>
  <c r="E76" i="12"/>
  <c r="O75" i="12"/>
  <c r="Q75" i="12" s="1"/>
  <c r="I75" i="12"/>
  <c r="G75" i="12"/>
  <c r="E75" i="12"/>
  <c r="O74" i="12"/>
  <c r="Q74" i="12" s="1"/>
  <c r="I74" i="12"/>
  <c r="G74" i="12"/>
  <c r="E74" i="12"/>
  <c r="O73" i="12"/>
  <c r="Q73" i="12" s="1"/>
  <c r="I73" i="12"/>
  <c r="G73" i="12"/>
  <c r="E73" i="12"/>
  <c r="Q72" i="12"/>
  <c r="O72" i="12"/>
  <c r="I72" i="12"/>
  <c r="G72" i="12"/>
  <c r="E72" i="12"/>
  <c r="O71" i="12"/>
  <c r="Q71" i="12" s="1"/>
  <c r="I71" i="12"/>
  <c r="G71" i="12"/>
  <c r="E71" i="12"/>
  <c r="Q70" i="12"/>
  <c r="O70" i="12"/>
  <c r="I70" i="12"/>
  <c r="G70" i="12"/>
  <c r="E70" i="12"/>
  <c r="Q69" i="12"/>
  <c r="M69" i="12"/>
  <c r="O69" i="12" s="1"/>
  <c r="I69" i="12"/>
  <c r="G69" i="12"/>
  <c r="E69" i="12"/>
  <c r="O68" i="12"/>
  <c r="Q68" i="12" s="1"/>
  <c r="M68" i="12"/>
  <c r="M121" i="12" s="1"/>
  <c r="I68" i="12"/>
  <c r="G68" i="12"/>
  <c r="E68" i="12"/>
  <c r="Q67" i="12"/>
  <c r="O67" i="12"/>
  <c r="I67" i="12"/>
  <c r="G67" i="12"/>
  <c r="E67" i="12"/>
  <c r="Q66" i="12"/>
  <c r="O66" i="12"/>
  <c r="I66" i="12"/>
  <c r="G66" i="12"/>
  <c r="E66" i="12"/>
  <c r="O65" i="12"/>
  <c r="Q65" i="12" s="1"/>
  <c r="I65" i="12"/>
  <c r="G65" i="12"/>
  <c r="E65" i="12"/>
  <c r="Q64" i="12"/>
  <c r="O64" i="12"/>
  <c r="I64" i="12"/>
  <c r="G64" i="12"/>
  <c r="E64" i="12"/>
  <c r="Q63" i="12"/>
  <c r="O63" i="12"/>
  <c r="I63" i="12"/>
  <c r="G63" i="12"/>
  <c r="E63" i="12"/>
  <c r="I62" i="12"/>
  <c r="G62" i="12"/>
  <c r="E62" i="12"/>
  <c r="O61" i="12"/>
  <c r="Q61" i="12" s="1"/>
  <c r="I61" i="12"/>
  <c r="G61" i="12"/>
  <c r="E61" i="12"/>
  <c r="I60" i="12"/>
  <c r="G60" i="12"/>
  <c r="E60" i="12"/>
  <c r="O59" i="12"/>
  <c r="Q59" i="12" s="1"/>
  <c r="I59" i="12"/>
  <c r="G59" i="12"/>
  <c r="E59" i="12"/>
  <c r="O58" i="12"/>
  <c r="Q58" i="12" s="1"/>
  <c r="I58" i="12"/>
  <c r="G58" i="12"/>
  <c r="E58" i="12"/>
  <c r="O57" i="12"/>
  <c r="Q57" i="12" s="1"/>
  <c r="I57" i="12"/>
  <c r="G57" i="12"/>
  <c r="E57" i="12"/>
  <c r="O56" i="12"/>
  <c r="Q56" i="12" s="1"/>
  <c r="I56" i="12"/>
  <c r="G56" i="12"/>
  <c r="E56" i="12"/>
  <c r="O55" i="12"/>
  <c r="Q55" i="12" s="1"/>
  <c r="I55" i="12"/>
  <c r="G55" i="12"/>
  <c r="E55" i="12"/>
  <c r="O54" i="12"/>
  <c r="Q54" i="12" s="1"/>
  <c r="I54" i="12"/>
  <c r="G54" i="12"/>
  <c r="E54" i="12"/>
  <c r="O53" i="12"/>
  <c r="Q53" i="12" s="1"/>
  <c r="I53" i="12"/>
  <c r="G53" i="12"/>
  <c r="E53" i="12"/>
  <c r="O52" i="12"/>
  <c r="I52" i="12"/>
  <c r="G52" i="12"/>
  <c r="E52" i="12"/>
  <c r="E51" i="12"/>
  <c r="M50" i="12"/>
  <c r="E50" i="12"/>
  <c r="O49" i="12"/>
  <c r="M49" i="12"/>
  <c r="K49" i="12"/>
  <c r="K50" i="12" s="1"/>
  <c r="I49" i="12"/>
  <c r="I50" i="12" s="1"/>
  <c r="G49" i="12"/>
  <c r="E49" i="12"/>
  <c r="O48" i="12"/>
  <c r="Q48" i="12" s="1"/>
  <c r="Q49" i="12" s="1"/>
  <c r="E48" i="12"/>
  <c r="E47" i="12"/>
  <c r="M46" i="12"/>
  <c r="K46" i="12"/>
  <c r="I46" i="12"/>
  <c r="G46" i="12"/>
  <c r="G50" i="12" s="1"/>
  <c r="E46" i="12"/>
  <c r="E45" i="12"/>
  <c r="O44" i="12"/>
  <c r="Q44" i="12" s="1"/>
  <c r="E44" i="12"/>
  <c r="O43" i="12"/>
  <c r="Q43" i="12" s="1"/>
  <c r="E43" i="12"/>
  <c r="O42" i="12"/>
  <c r="Q42" i="12" s="1"/>
  <c r="E42" i="12"/>
  <c r="O41" i="12"/>
  <c r="Q41" i="12" s="1"/>
  <c r="E41" i="12"/>
  <c r="Q40" i="12"/>
  <c r="O40" i="12"/>
  <c r="E40" i="12"/>
  <c r="O39" i="12"/>
  <c r="Q39" i="12" s="1"/>
  <c r="E39" i="12"/>
  <c r="O38" i="12"/>
  <c r="Q38" i="12" s="1"/>
  <c r="E38" i="12"/>
  <c r="Q37" i="12"/>
  <c r="O37" i="12"/>
  <c r="E37" i="12"/>
  <c r="O36" i="12"/>
  <c r="Q36" i="12" s="1"/>
  <c r="E36" i="12"/>
  <c r="O35" i="12"/>
  <c r="Q35" i="12" s="1"/>
  <c r="E35" i="12"/>
  <c r="Q34" i="12"/>
  <c r="O34" i="12"/>
  <c r="E34" i="12"/>
  <c r="O33" i="12"/>
  <c r="Q33" i="12" s="1"/>
  <c r="E33" i="12"/>
  <c r="O32" i="12"/>
  <c r="Q32" i="12" s="1"/>
  <c r="E32" i="12"/>
  <c r="O31" i="12"/>
  <c r="E31" i="12"/>
  <c r="Q30" i="12"/>
  <c r="O30" i="12"/>
  <c r="E30" i="12"/>
  <c r="E29" i="12"/>
  <c r="E28" i="12"/>
  <c r="K27" i="12"/>
  <c r="K122" i="12" s="1"/>
  <c r="E27" i="12"/>
  <c r="M26" i="12"/>
  <c r="O26" i="12" s="1"/>
  <c r="Q26" i="12" s="1"/>
  <c r="I26" i="12"/>
  <c r="G26" i="12"/>
  <c r="E26" i="12"/>
  <c r="M25" i="12"/>
  <c r="O25" i="12" s="1"/>
  <c r="Q25" i="12" s="1"/>
  <c r="I25" i="12"/>
  <c r="G25" i="12"/>
  <c r="E25" i="12"/>
  <c r="M24" i="12"/>
  <c r="O24" i="12" s="1"/>
  <c r="Q24" i="12" s="1"/>
  <c r="I24" i="12"/>
  <c r="G24" i="12"/>
  <c r="E24" i="12"/>
  <c r="M23" i="12"/>
  <c r="O23" i="12" s="1"/>
  <c r="Q23" i="12" s="1"/>
  <c r="I23" i="12"/>
  <c r="G23" i="12"/>
  <c r="E23" i="12"/>
  <c r="O22" i="12"/>
  <c r="Q22" i="12" s="1"/>
  <c r="I22" i="12"/>
  <c r="G22" i="12"/>
  <c r="E22" i="12"/>
  <c r="O21" i="12"/>
  <c r="Q21" i="12" s="1"/>
  <c r="I21" i="12"/>
  <c r="G21" i="12"/>
  <c r="E21" i="12"/>
  <c r="Q20" i="12"/>
  <c r="O20" i="12"/>
  <c r="M20" i="12"/>
  <c r="I20" i="12"/>
  <c r="G20" i="12"/>
  <c r="E20" i="12"/>
  <c r="M19" i="12"/>
  <c r="O19" i="12" s="1"/>
  <c r="Q19" i="12" s="1"/>
  <c r="I19" i="12"/>
  <c r="G19" i="12"/>
  <c r="E19" i="12"/>
  <c r="O18" i="12"/>
  <c r="Q18" i="12" s="1"/>
  <c r="M18" i="12"/>
  <c r="M27" i="12" s="1"/>
  <c r="M122" i="12" s="1"/>
  <c r="I18" i="12"/>
  <c r="G18" i="12"/>
  <c r="E18" i="12"/>
  <c r="Q17" i="12"/>
  <c r="O17" i="12"/>
  <c r="I17" i="12"/>
  <c r="G17" i="12"/>
  <c r="E17" i="12"/>
  <c r="O16" i="12"/>
  <c r="Q16" i="12" s="1"/>
  <c r="I16" i="12"/>
  <c r="G16" i="12"/>
  <c r="E16" i="12"/>
  <c r="O15" i="12"/>
  <c r="Q15" i="12" s="1"/>
  <c r="I15" i="12"/>
  <c r="G15" i="12"/>
  <c r="E15" i="12"/>
  <c r="O14" i="12"/>
  <c r="Q14" i="12" s="1"/>
  <c r="J14" i="12"/>
  <c r="I14" i="12"/>
  <c r="G14" i="12"/>
  <c r="E14" i="12"/>
  <c r="M13" i="12"/>
  <c r="M12" i="12" s="1"/>
  <c r="O12" i="12" s="1"/>
  <c r="Q12" i="12" s="1"/>
  <c r="I13" i="12"/>
  <c r="G13" i="12"/>
  <c r="E13" i="12"/>
  <c r="I12" i="12"/>
  <c r="G12" i="12"/>
  <c r="E12" i="12"/>
  <c r="A2" i="12"/>
  <c r="K73" i="11"/>
  <c r="M72" i="11"/>
  <c r="K72" i="11"/>
  <c r="O70" i="11"/>
  <c r="Q70" i="11" s="1"/>
  <c r="I70" i="11"/>
  <c r="G70" i="11"/>
  <c r="O69" i="11"/>
  <c r="Q69" i="11" s="1"/>
  <c r="I69" i="11"/>
  <c r="G69" i="11"/>
  <c r="Q68" i="11"/>
  <c r="O68" i="11"/>
  <c r="I68" i="11"/>
  <c r="G68" i="11"/>
  <c r="E68" i="11"/>
  <c r="Q67" i="11"/>
  <c r="O67" i="11"/>
  <c r="I67" i="11"/>
  <c r="G67" i="11"/>
  <c r="E67" i="11"/>
  <c r="O66" i="11"/>
  <c r="Q66" i="11" s="1"/>
  <c r="I66" i="11"/>
  <c r="G66" i="11"/>
  <c r="E66" i="11"/>
  <c r="Q65" i="11"/>
  <c r="O65" i="11"/>
  <c r="I65" i="11"/>
  <c r="G65" i="11"/>
  <c r="E65" i="11"/>
  <c r="Q64" i="11"/>
  <c r="O64" i="11"/>
  <c r="I64" i="11"/>
  <c r="G64" i="11"/>
  <c r="E64" i="11"/>
  <c r="Q63" i="11"/>
  <c r="O63" i="11"/>
  <c r="I63" i="11"/>
  <c r="G63" i="11"/>
  <c r="E63" i="11"/>
  <c r="O62" i="11"/>
  <c r="Q62" i="11" s="1"/>
  <c r="I62" i="11"/>
  <c r="G62" i="11"/>
  <c r="E62" i="11"/>
  <c r="Q61" i="11"/>
  <c r="O61" i="11"/>
  <c r="I61" i="11"/>
  <c r="G61" i="11"/>
  <c r="E61" i="11"/>
  <c r="Q60" i="11"/>
  <c r="O60" i="11"/>
  <c r="I60" i="11"/>
  <c r="G60" i="11"/>
  <c r="E60" i="11"/>
  <c r="Q59" i="11"/>
  <c r="O59" i="11"/>
  <c r="I59" i="11"/>
  <c r="G59" i="11"/>
  <c r="E59" i="11"/>
  <c r="O58" i="11"/>
  <c r="Q58" i="11" s="1"/>
  <c r="I58" i="11"/>
  <c r="G58" i="11"/>
  <c r="E58" i="11"/>
  <c r="Q57" i="11"/>
  <c r="O57" i="11"/>
  <c r="I57" i="11"/>
  <c r="G57" i="11"/>
  <c r="E57" i="11"/>
  <c r="Q56" i="11"/>
  <c r="O56" i="11"/>
  <c r="I56" i="11"/>
  <c r="G56" i="11"/>
  <c r="E56" i="11"/>
  <c r="Q55" i="11"/>
  <c r="O55" i="11"/>
  <c r="I55" i="11"/>
  <c r="G55" i="11"/>
  <c r="E55" i="11"/>
  <c r="O54" i="11"/>
  <c r="Q54" i="11" s="1"/>
  <c r="I54" i="11"/>
  <c r="G54" i="11"/>
  <c r="E54" i="11"/>
  <c r="Q53" i="11"/>
  <c r="O53" i="11"/>
  <c r="I53" i="11"/>
  <c r="G53" i="11"/>
  <c r="E53" i="11"/>
  <c r="Q52" i="11"/>
  <c r="O52" i="11"/>
  <c r="I52" i="11"/>
  <c r="G52" i="11"/>
  <c r="E52" i="11"/>
  <c r="Q51" i="11"/>
  <c r="O51" i="11"/>
  <c r="I51" i="11"/>
  <c r="G51" i="11"/>
  <c r="E51" i="11"/>
  <c r="O50" i="11"/>
  <c r="Q50" i="11" s="1"/>
  <c r="I50" i="11"/>
  <c r="G50" i="11"/>
  <c r="E50" i="11"/>
  <c r="Q49" i="11"/>
  <c r="O49" i="11"/>
  <c r="I49" i="11"/>
  <c r="G49" i="11"/>
  <c r="E49" i="11"/>
  <c r="Q48" i="11"/>
  <c r="O48" i="11"/>
  <c r="I48" i="11"/>
  <c r="G48" i="11"/>
  <c r="E48" i="11"/>
  <c r="Q47" i="11"/>
  <c r="O47" i="11"/>
  <c r="I47" i="11"/>
  <c r="G47" i="11"/>
  <c r="E47" i="11"/>
  <c r="O46" i="11"/>
  <c r="Q46" i="11" s="1"/>
  <c r="I46" i="11"/>
  <c r="G46" i="11"/>
  <c r="E46" i="11"/>
  <c r="Q45" i="11"/>
  <c r="O45" i="11"/>
  <c r="I45" i="11"/>
  <c r="G45" i="11"/>
  <c r="E45" i="11"/>
  <c r="Q44" i="11"/>
  <c r="O44" i="11"/>
  <c r="I44" i="11"/>
  <c r="G44" i="11"/>
  <c r="E44" i="11"/>
  <c r="Q43" i="11"/>
  <c r="O43" i="11"/>
  <c r="I43" i="11"/>
  <c r="G43" i="11"/>
  <c r="E43" i="11"/>
  <c r="O42" i="11"/>
  <c r="Q42" i="11" s="1"/>
  <c r="I42" i="11"/>
  <c r="G42" i="11"/>
  <c r="E42" i="11"/>
  <c r="Q41" i="11"/>
  <c r="O41" i="11"/>
  <c r="I41" i="11"/>
  <c r="G41" i="11"/>
  <c r="E41" i="11"/>
  <c r="Q40" i="11"/>
  <c r="O40" i="11"/>
  <c r="I40" i="11"/>
  <c r="G40" i="11"/>
  <c r="E40" i="11"/>
  <c r="Q39" i="11"/>
  <c r="O39" i="11"/>
  <c r="I39" i="11"/>
  <c r="G39" i="11"/>
  <c r="E39" i="11"/>
  <c r="O38" i="11"/>
  <c r="O72" i="11" s="1"/>
  <c r="I38" i="11"/>
  <c r="G38" i="11"/>
  <c r="E38" i="11"/>
  <c r="E37" i="11"/>
  <c r="M36" i="11"/>
  <c r="K36" i="11"/>
  <c r="I36" i="11"/>
  <c r="E36" i="11"/>
  <c r="Q35" i="11"/>
  <c r="O35" i="11"/>
  <c r="E35" i="11"/>
  <c r="O34" i="11"/>
  <c r="Q34" i="11" s="1"/>
  <c r="E34" i="11"/>
  <c r="O33" i="11"/>
  <c r="Q33" i="11" s="1"/>
  <c r="E33" i="11"/>
  <c r="Q32" i="11"/>
  <c r="E32" i="11"/>
  <c r="O31" i="11"/>
  <c r="Q31" i="11" s="1"/>
  <c r="E31" i="11"/>
  <c r="O30" i="11"/>
  <c r="Q30" i="11" s="1"/>
  <c r="E30" i="11"/>
  <c r="Q29" i="11"/>
  <c r="O29" i="11"/>
  <c r="E29" i="11"/>
  <c r="O28" i="11"/>
  <c r="Q28" i="11" s="1"/>
  <c r="E28" i="11"/>
  <c r="O27" i="11"/>
  <c r="Q27" i="11" s="1"/>
  <c r="G27" i="11"/>
  <c r="G36" i="11" s="1"/>
  <c r="E27" i="11"/>
  <c r="O26" i="11"/>
  <c r="E26" i="11"/>
  <c r="E25" i="11"/>
  <c r="E24" i="11"/>
  <c r="K23" i="11"/>
  <c r="E23" i="11"/>
  <c r="O22" i="11"/>
  <c r="Q22" i="11" s="1"/>
  <c r="M22" i="11"/>
  <c r="I22" i="11"/>
  <c r="G22" i="11"/>
  <c r="E22" i="11"/>
  <c r="Q21" i="11"/>
  <c r="O21" i="11"/>
  <c r="M21" i="11"/>
  <c r="I21" i="11"/>
  <c r="G21" i="11"/>
  <c r="E21" i="11"/>
  <c r="O20" i="11"/>
  <c r="Q20" i="11" s="1"/>
  <c r="M20" i="11"/>
  <c r="I20" i="11"/>
  <c r="G20" i="11"/>
  <c r="E20" i="11"/>
  <c r="Q19" i="11"/>
  <c r="O19" i="11"/>
  <c r="M19" i="11"/>
  <c r="I19" i="11"/>
  <c r="G19" i="11"/>
  <c r="E19" i="11"/>
  <c r="O18" i="11"/>
  <c r="Q18" i="11" s="1"/>
  <c r="I18" i="11"/>
  <c r="G18" i="11"/>
  <c r="E18" i="11"/>
  <c r="M17" i="11"/>
  <c r="O17" i="11" s="1"/>
  <c r="Q17" i="11" s="1"/>
  <c r="I17" i="11"/>
  <c r="G17" i="11"/>
  <c r="E17" i="11"/>
  <c r="M16" i="11"/>
  <c r="O16" i="11" s="1"/>
  <c r="Q16" i="11" s="1"/>
  <c r="I16" i="11"/>
  <c r="G16" i="11"/>
  <c r="E16" i="11"/>
  <c r="O15" i="11"/>
  <c r="Q15" i="11" s="1"/>
  <c r="M15" i="11"/>
  <c r="I15" i="11"/>
  <c r="G15" i="11"/>
  <c r="E15" i="11"/>
  <c r="O14" i="11"/>
  <c r="Q14" i="11" s="1"/>
  <c r="J14" i="11"/>
  <c r="I14" i="11"/>
  <c r="G14" i="11"/>
  <c r="E14" i="11"/>
  <c r="Q13" i="11"/>
  <c r="O13" i="11"/>
  <c r="I13" i="11"/>
  <c r="G13" i="11"/>
  <c r="E13" i="11"/>
  <c r="Q12" i="11"/>
  <c r="O12" i="11"/>
  <c r="M12" i="11"/>
  <c r="M23" i="11" s="1"/>
  <c r="M73" i="11" s="1"/>
  <c r="I12" i="11"/>
  <c r="G12" i="11"/>
  <c r="E12" i="11"/>
  <c r="G124" i="11" s="1"/>
  <c r="A2" i="11"/>
  <c r="G143" i="10"/>
  <c r="G142" i="10"/>
  <c r="M108" i="10"/>
  <c r="K108" i="10"/>
  <c r="Q106" i="10"/>
  <c r="O106" i="10"/>
  <c r="I106" i="10"/>
  <c r="G106" i="10"/>
  <c r="E106" i="10"/>
  <c r="Q105" i="10"/>
  <c r="O105" i="10"/>
  <c r="I105" i="10"/>
  <c r="G105" i="10"/>
  <c r="E105" i="10"/>
  <c r="Q104" i="10"/>
  <c r="O104" i="10"/>
  <c r="I104" i="10"/>
  <c r="G104" i="10"/>
  <c r="E104" i="10"/>
  <c r="Q103" i="10"/>
  <c r="O103" i="10"/>
  <c r="I103" i="10"/>
  <c r="G103" i="10"/>
  <c r="E103" i="10"/>
  <c r="Q102" i="10"/>
  <c r="O102" i="10"/>
  <c r="I102" i="10"/>
  <c r="G102" i="10"/>
  <c r="E102" i="10"/>
  <c r="Q101" i="10"/>
  <c r="O101" i="10"/>
  <c r="I101" i="10"/>
  <c r="G101" i="10"/>
  <c r="E101" i="10"/>
  <c r="Q100" i="10"/>
  <c r="O100" i="10"/>
  <c r="I100" i="10"/>
  <c r="G100" i="10"/>
  <c r="E100" i="10"/>
  <c r="Q99" i="10"/>
  <c r="O99" i="10"/>
  <c r="I99" i="10"/>
  <c r="G99" i="10"/>
  <c r="E99" i="10"/>
  <c r="Q98" i="10"/>
  <c r="O98" i="10"/>
  <c r="I98" i="10"/>
  <c r="G98" i="10"/>
  <c r="E98" i="10"/>
  <c r="Q97" i="10"/>
  <c r="O97" i="10"/>
  <c r="I97" i="10"/>
  <c r="G97" i="10"/>
  <c r="E97" i="10"/>
  <c r="Q96" i="10"/>
  <c r="O96" i="10"/>
  <c r="I96" i="10"/>
  <c r="G96" i="10"/>
  <c r="E96" i="10"/>
  <c r="Q95" i="10"/>
  <c r="O95" i="10"/>
  <c r="I95" i="10"/>
  <c r="G95" i="10"/>
  <c r="E95" i="10"/>
  <c r="Q94" i="10"/>
  <c r="O94" i="10"/>
  <c r="I94" i="10"/>
  <c r="G94" i="10"/>
  <c r="E94" i="10"/>
  <c r="Q93" i="10"/>
  <c r="O93" i="10"/>
  <c r="I93" i="10"/>
  <c r="G93" i="10"/>
  <c r="E93" i="10"/>
  <c r="Q92" i="10"/>
  <c r="O92" i="10"/>
  <c r="I92" i="10"/>
  <c r="G92" i="10"/>
  <c r="E92" i="10"/>
  <c r="Q91" i="10"/>
  <c r="O91" i="10"/>
  <c r="I91" i="10"/>
  <c r="G91" i="10"/>
  <c r="E91" i="10"/>
  <c r="I90" i="10"/>
  <c r="G90" i="10"/>
  <c r="E90" i="10"/>
  <c r="Q89" i="10"/>
  <c r="O89" i="10"/>
  <c r="I89" i="10"/>
  <c r="G89" i="10"/>
  <c r="E89" i="10"/>
  <c r="Q88" i="10"/>
  <c r="O88" i="10"/>
  <c r="I88" i="10"/>
  <c r="G88" i="10"/>
  <c r="E88" i="10"/>
  <c r="O87" i="10"/>
  <c r="Q87" i="10" s="1"/>
  <c r="I87" i="10"/>
  <c r="G87" i="10"/>
  <c r="E87" i="10"/>
  <c r="O86" i="10"/>
  <c r="Q86" i="10" s="1"/>
  <c r="I86" i="10"/>
  <c r="G86" i="10"/>
  <c r="E86" i="10"/>
  <c r="Q85" i="10"/>
  <c r="O85" i="10"/>
  <c r="I85" i="10"/>
  <c r="G85" i="10"/>
  <c r="E85" i="10"/>
  <c r="Q84" i="10"/>
  <c r="O84" i="10"/>
  <c r="I84" i="10"/>
  <c r="G84" i="10"/>
  <c r="E84" i="10"/>
  <c r="O83" i="10"/>
  <c r="Q83" i="10" s="1"/>
  <c r="I83" i="10"/>
  <c r="G83" i="10"/>
  <c r="E83" i="10"/>
  <c r="Q82" i="10"/>
  <c r="O82" i="10"/>
  <c r="I82" i="10"/>
  <c r="G82" i="10"/>
  <c r="E82" i="10"/>
  <c r="O81" i="10"/>
  <c r="Q81" i="10" s="1"/>
  <c r="I81" i="10"/>
  <c r="G81" i="10"/>
  <c r="E81" i="10"/>
  <c r="Q80" i="10"/>
  <c r="O80" i="10"/>
  <c r="I80" i="10"/>
  <c r="G80" i="10"/>
  <c r="E80" i="10"/>
  <c r="O79" i="10"/>
  <c r="Q79" i="10" s="1"/>
  <c r="I79" i="10"/>
  <c r="G79" i="10"/>
  <c r="E79" i="10"/>
  <c r="O78" i="10"/>
  <c r="Q78" i="10" s="1"/>
  <c r="I78" i="10"/>
  <c r="G78" i="10"/>
  <c r="E78" i="10"/>
  <c r="O77" i="10"/>
  <c r="Q77" i="10" s="1"/>
  <c r="I77" i="10"/>
  <c r="G77" i="10"/>
  <c r="E77" i="10"/>
  <c r="Q76" i="10"/>
  <c r="O76" i="10"/>
  <c r="I76" i="10"/>
  <c r="G76" i="10"/>
  <c r="E76" i="10"/>
  <c r="O75" i="10"/>
  <c r="Q75" i="10" s="1"/>
  <c r="I75" i="10"/>
  <c r="G75" i="10"/>
  <c r="E75" i="10"/>
  <c r="Q74" i="10"/>
  <c r="O74" i="10"/>
  <c r="I74" i="10"/>
  <c r="G74" i="10"/>
  <c r="E74" i="10"/>
  <c r="O73" i="10"/>
  <c r="Q73" i="10" s="1"/>
  <c r="I73" i="10"/>
  <c r="G73" i="10"/>
  <c r="E73" i="10"/>
  <c r="Q72" i="10"/>
  <c r="O72" i="10"/>
  <c r="I72" i="10"/>
  <c r="G72" i="10"/>
  <c r="E72" i="10"/>
  <c r="O71" i="10"/>
  <c r="Q71" i="10" s="1"/>
  <c r="I71" i="10"/>
  <c r="G71" i="10"/>
  <c r="E71" i="10"/>
  <c r="O70" i="10"/>
  <c r="Q70" i="10" s="1"/>
  <c r="I70" i="10"/>
  <c r="G70" i="10"/>
  <c r="E70" i="10"/>
  <c r="Q69" i="10"/>
  <c r="O69" i="10"/>
  <c r="I69" i="10"/>
  <c r="G69" i="10"/>
  <c r="E69" i="10"/>
  <c r="Q68" i="10"/>
  <c r="O68" i="10"/>
  <c r="I68" i="10"/>
  <c r="G68" i="10"/>
  <c r="E68" i="10"/>
  <c r="O67" i="10"/>
  <c r="Q67" i="10" s="1"/>
  <c r="I67" i="10"/>
  <c r="G67" i="10"/>
  <c r="E67" i="10"/>
  <c r="O66" i="10"/>
  <c r="Q66" i="10" s="1"/>
  <c r="I66" i="10"/>
  <c r="G66" i="10"/>
  <c r="E66" i="10"/>
  <c r="Q65" i="10"/>
  <c r="O65" i="10"/>
  <c r="I65" i="10"/>
  <c r="G65" i="10"/>
  <c r="E65" i="10"/>
  <c r="Q64" i="10"/>
  <c r="O64" i="10"/>
  <c r="I64" i="10"/>
  <c r="G64" i="10"/>
  <c r="E64" i="10"/>
  <c r="O63" i="10"/>
  <c r="Q63" i="10" s="1"/>
  <c r="I63" i="10"/>
  <c r="G63" i="10"/>
  <c r="E63" i="10"/>
  <c r="O62" i="10"/>
  <c r="Q62" i="10" s="1"/>
  <c r="I62" i="10"/>
  <c r="G62" i="10"/>
  <c r="E62" i="10"/>
  <c r="O61" i="10"/>
  <c r="Q61" i="10" s="1"/>
  <c r="I61" i="10"/>
  <c r="G61" i="10"/>
  <c r="E61" i="10"/>
  <c r="Q60" i="10"/>
  <c r="O60" i="10"/>
  <c r="I60" i="10"/>
  <c r="G60" i="10"/>
  <c r="E60" i="10"/>
  <c r="O59" i="10"/>
  <c r="Q59" i="10" s="1"/>
  <c r="I59" i="10"/>
  <c r="G59" i="10"/>
  <c r="E59" i="10"/>
  <c r="Q58" i="10"/>
  <c r="O58" i="10"/>
  <c r="I58" i="10"/>
  <c r="G58" i="10"/>
  <c r="E58" i="10"/>
  <c r="O57" i="10"/>
  <c r="Q57" i="10" s="1"/>
  <c r="I57" i="10"/>
  <c r="G57" i="10"/>
  <c r="E57" i="10"/>
  <c r="Q56" i="10"/>
  <c r="O56" i="10"/>
  <c r="I56" i="10"/>
  <c r="G56" i="10"/>
  <c r="E56" i="10"/>
  <c r="O55" i="10"/>
  <c r="Q55" i="10" s="1"/>
  <c r="I55" i="10"/>
  <c r="G55" i="10"/>
  <c r="E55" i="10"/>
  <c r="O54" i="10"/>
  <c r="Q54" i="10" s="1"/>
  <c r="I54" i="10"/>
  <c r="G54" i="10"/>
  <c r="E54" i="10"/>
  <c r="O53" i="10"/>
  <c r="I53" i="10"/>
  <c r="G53" i="10"/>
  <c r="E53" i="10"/>
  <c r="E52" i="10"/>
  <c r="E51" i="10"/>
  <c r="M50" i="10"/>
  <c r="K50" i="10"/>
  <c r="K51" i="10" s="1"/>
  <c r="I50" i="10"/>
  <c r="E50" i="10"/>
  <c r="Q49" i="10"/>
  <c r="Q50" i="10" s="1"/>
  <c r="O49" i="10"/>
  <c r="O50" i="10" s="1"/>
  <c r="G49" i="10"/>
  <c r="G50" i="10" s="1"/>
  <c r="G51" i="10" s="1"/>
  <c r="E49" i="10"/>
  <c r="E48" i="10"/>
  <c r="M47" i="10"/>
  <c r="K47" i="10"/>
  <c r="I47" i="10"/>
  <c r="I51" i="10" s="1"/>
  <c r="G47" i="10"/>
  <c r="E47" i="10"/>
  <c r="E46" i="10"/>
  <c r="O45" i="10"/>
  <c r="Q45" i="10" s="1"/>
  <c r="E45" i="10"/>
  <c r="O44" i="10"/>
  <c r="Q44" i="10" s="1"/>
  <c r="E44" i="10"/>
  <c r="Q43" i="10"/>
  <c r="O43" i="10"/>
  <c r="E43" i="10"/>
  <c r="Q42" i="10"/>
  <c r="O42" i="10"/>
  <c r="E42" i="10"/>
  <c r="Q41" i="10"/>
  <c r="O41" i="10"/>
  <c r="E41" i="10"/>
  <c r="Q40" i="10"/>
  <c r="E40" i="10"/>
  <c r="Q39" i="10"/>
  <c r="E39" i="10"/>
  <c r="Q38" i="10"/>
  <c r="E38" i="10"/>
  <c r="Q37" i="10"/>
  <c r="E37" i="10"/>
  <c r="O36" i="10"/>
  <c r="Q36" i="10" s="1"/>
  <c r="E36" i="10"/>
  <c r="Q35" i="10"/>
  <c r="E35" i="10"/>
  <c r="Q34" i="10"/>
  <c r="O34" i="10"/>
  <c r="E34" i="10"/>
  <c r="O33" i="10"/>
  <c r="Q33" i="10" s="1"/>
  <c r="E33" i="10"/>
  <c r="Q32" i="10"/>
  <c r="O32" i="10"/>
  <c r="E32" i="10"/>
  <c r="O31" i="10"/>
  <c r="Q31" i="10" s="1"/>
  <c r="E31" i="10"/>
  <c r="O30" i="10"/>
  <c r="Q30" i="10" s="1"/>
  <c r="E30" i="10"/>
  <c r="O29" i="10"/>
  <c r="Q29" i="10" s="1"/>
  <c r="E29" i="10"/>
  <c r="O28" i="10"/>
  <c r="E28" i="10"/>
  <c r="E27" i="10"/>
  <c r="E26" i="10"/>
  <c r="K25" i="10"/>
  <c r="K109" i="10" s="1"/>
  <c r="E25" i="10"/>
  <c r="O24" i="10"/>
  <c r="Q24" i="10" s="1"/>
  <c r="M24" i="10"/>
  <c r="I24" i="10"/>
  <c r="G24" i="10"/>
  <c r="E24" i="10"/>
  <c r="Q23" i="10"/>
  <c r="O23" i="10"/>
  <c r="M23" i="10"/>
  <c r="I23" i="10"/>
  <c r="G23" i="10"/>
  <c r="E23" i="10"/>
  <c r="O22" i="10"/>
  <c r="Q22" i="10" s="1"/>
  <c r="M22" i="10"/>
  <c r="I22" i="10"/>
  <c r="G22" i="10"/>
  <c r="E22" i="10"/>
  <c r="Q21" i="10"/>
  <c r="O21" i="10"/>
  <c r="M21" i="10"/>
  <c r="I21" i="10"/>
  <c r="G21" i="10"/>
  <c r="E21" i="10"/>
  <c r="O20" i="10"/>
  <c r="Q20" i="10" s="1"/>
  <c r="I20" i="10"/>
  <c r="G20" i="10"/>
  <c r="E20" i="10"/>
  <c r="O19" i="10"/>
  <c r="Q19" i="10" s="1"/>
  <c r="M19" i="10"/>
  <c r="I19" i="10"/>
  <c r="G19" i="10"/>
  <c r="E19" i="10"/>
  <c r="O18" i="10"/>
  <c r="Q18" i="10" s="1"/>
  <c r="M18" i="10"/>
  <c r="I18" i="10"/>
  <c r="G18" i="10"/>
  <c r="E18" i="10"/>
  <c r="Q17" i="10"/>
  <c r="O17" i="10"/>
  <c r="I17" i="10"/>
  <c r="G17" i="10"/>
  <c r="E17" i="10"/>
  <c r="Q16" i="10"/>
  <c r="O16" i="10"/>
  <c r="I16" i="10"/>
  <c r="G16" i="10"/>
  <c r="E16" i="10"/>
  <c r="Q15" i="10"/>
  <c r="O15" i="10"/>
  <c r="I15" i="10"/>
  <c r="G15" i="10"/>
  <c r="E15" i="10"/>
  <c r="Q14" i="10"/>
  <c r="O14" i="10"/>
  <c r="J14" i="10"/>
  <c r="I14" i="10"/>
  <c r="G14" i="10"/>
  <c r="E14" i="10"/>
  <c r="M13" i="10"/>
  <c r="O13" i="10" s="1"/>
  <c r="Q13" i="10" s="1"/>
  <c r="I13" i="10"/>
  <c r="G13" i="10"/>
  <c r="E13" i="10"/>
  <c r="I12" i="10"/>
  <c r="G12" i="10"/>
  <c r="E12" i="10"/>
  <c r="G160" i="10" s="1"/>
  <c r="A2" i="10"/>
  <c r="G30" i="9"/>
  <c r="N26" i="9"/>
  <c r="P24" i="9"/>
  <c r="I24" i="9"/>
  <c r="K24" i="9" s="1"/>
  <c r="E24" i="9"/>
  <c r="P19" i="9"/>
  <c r="O19" i="9"/>
  <c r="M19" i="9"/>
  <c r="K19" i="9"/>
  <c r="I19" i="9"/>
  <c r="I21" i="9" s="1"/>
  <c r="G19" i="9"/>
  <c r="E19" i="9"/>
  <c r="E30" i="9" s="1"/>
  <c r="S17" i="9"/>
  <c r="R17" i="9"/>
  <c r="M17" i="9"/>
  <c r="K17" i="9"/>
  <c r="I17" i="9"/>
  <c r="G17" i="9"/>
  <c r="E17" i="9"/>
  <c r="S16" i="9"/>
  <c r="T16" i="9" s="1"/>
  <c r="S15" i="9"/>
  <c r="T15" i="9" s="1"/>
  <c r="T17" i="9" s="1"/>
  <c r="T14" i="9"/>
  <c r="S14" i="9"/>
  <c r="P14" i="9"/>
  <c r="P21" i="9" s="1"/>
  <c r="O14" i="9"/>
  <c r="M14" i="9"/>
  <c r="M21" i="9" s="1"/>
  <c r="K14" i="9"/>
  <c r="K21" i="9" s="1"/>
  <c r="K26" i="9" s="1"/>
  <c r="M24" i="9" s="1"/>
  <c r="I14" i="9"/>
  <c r="G14" i="9"/>
  <c r="G21" i="9" s="1"/>
  <c r="G26" i="9" s="1"/>
  <c r="E14" i="9"/>
  <c r="E21" i="9" s="1"/>
  <c r="E26" i="9" s="1"/>
  <c r="G24" i="9" s="1"/>
  <c r="G13" i="9"/>
  <c r="E13" i="9"/>
  <c r="T12" i="9"/>
  <c r="G12" i="9"/>
  <c r="E12" i="9"/>
  <c r="T11" i="9"/>
  <c r="K11" i="9"/>
  <c r="G11" i="9"/>
  <c r="E11" i="9"/>
  <c r="A2" i="9"/>
  <c r="G143" i="8"/>
  <c r="G142" i="8"/>
  <c r="I85" i="8"/>
  <c r="G85" i="8"/>
  <c r="I84" i="8"/>
  <c r="G84" i="8"/>
  <c r="I83" i="8"/>
  <c r="G83" i="8"/>
  <c r="M80" i="8"/>
  <c r="K80" i="8"/>
  <c r="Q78" i="8"/>
  <c r="O78" i="8"/>
  <c r="I78" i="8"/>
  <c r="G78" i="8"/>
  <c r="E78" i="8"/>
  <c r="Q77" i="8"/>
  <c r="O77" i="8"/>
  <c r="I77" i="8"/>
  <c r="G77" i="8"/>
  <c r="E77" i="8"/>
  <c r="O76" i="8"/>
  <c r="Q76" i="8" s="1"/>
  <c r="I76" i="8"/>
  <c r="G76" i="8"/>
  <c r="E76" i="8"/>
  <c r="O75" i="8"/>
  <c r="Q75" i="8" s="1"/>
  <c r="I75" i="8"/>
  <c r="G75" i="8"/>
  <c r="E75" i="8"/>
  <c r="Q74" i="8"/>
  <c r="O74" i="8"/>
  <c r="I74" i="8"/>
  <c r="G74" i="8"/>
  <c r="E74" i="8"/>
  <c r="O73" i="8"/>
  <c r="Q73" i="8" s="1"/>
  <c r="I73" i="8"/>
  <c r="G73" i="8"/>
  <c r="E73" i="8"/>
  <c r="O72" i="8"/>
  <c r="Q72" i="8" s="1"/>
  <c r="I72" i="8"/>
  <c r="G72" i="8"/>
  <c r="E72" i="8"/>
  <c r="O71" i="8"/>
  <c r="Q71" i="8" s="1"/>
  <c r="I71" i="8"/>
  <c r="G71" i="8"/>
  <c r="E71" i="8"/>
  <c r="O70" i="8"/>
  <c r="Q70" i="8" s="1"/>
  <c r="I70" i="8"/>
  <c r="G70" i="8"/>
  <c r="E70" i="8"/>
  <c r="O69" i="8"/>
  <c r="Q69" i="8" s="1"/>
  <c r="I69" i="8"/>
  <c r="G69" i="8"/>
  <c r="E69" i="8"/>
  <c r="O68" i="8"/>
  <c r="Q68" i="8" s="1"/>
  <c r="I68" i="8"/>
  <c r="G68" i="8"/>
  <c r="E68" i="8"/>
  <c r="O67" i="8"/>
  <c r="Q67" i="8" s="1"/>
  <c r="I67" i="8"/>
  <c r="G67" i="8"/>
  <c r="E67" i="8"/>
  <c r="O66" i="8"/>
  <c r="Q66" i="8" s="1"/>
  <c r="I66" i="8"/>
  <c r="G66" i="8"/>
  <c r="E66" i="8"/>
  <c r="Q65" i="8"/>
  <c r="O65" i="8"/>
  <c r="I65" i="8"/>
  <c r="G65" i="8"/>
  <c r="E65" i="8"/>
  <c r="O64" i="8"/>
  <c r="Q64" i="8" s="1"/>
  <c r="I64" i="8"/>
  <c r="G64" i="8"/>
  <c r="E64" i="8"/>
  <c r="O63" i="8"/>
  <c r="Q63" i="8" s="1"/>
  <c r="I63" i="8"/>
  <c r="G63" i="8"/>
  <c r="E63" i="8"/>
  <c r="Q62" i="8"/>
  <c r="O62" i="8"/>
  <c r="I62" i="8"/>
  <c r="G62" i="8"/>
  <c r="E62" i="8"/>
  <c r="Q61" i="8"/>
  <c r="O61" i="8"/>
  <c r="I61" i="8"/>
  <c r="G61" i="8"/>
  <c r="E61" i="8"/>
  <c r="O60" i="8"/>
  <c r="Q60" i="8" s="1"/>
  <c r="I60" i="8"/>
  <c r="G60" i="8"/>
  <c r="E60" i="8"/>
  <c r="O59" i="8"/>
  <c r="Q59" i="8" s="1"/>
  <c r="I59" i="8"/>
  <c r="G59" i="8"/>
  <c r="E59" i="8"/>
  <c r="O58" i="8"/>
  <c r="Q58" i="8" s="1"/>
  <c r="I58" i="8"/>
  <c r="G58" i="8"/>
  <c r="E58" i="8"/>
  <c r="O57" i="8"/>
  <c r="Q57" i="8" s="1"/>
  <c r="I57" i="8"/>
  <c r="G57" i="8"/>
  <c r="E57" i="8"/>
  <c r="O56" i="8"/>
  <c r="Q56" i="8" s="1"/>
  <c r="I56" i="8"/>
  <c r="G56" i="8"/>
  <c r="E56" i="8"/>
  <c r="O55" i="8"/>
  <c r="Q55" i="8" s="1"/>
  <c r="I55" i="8"/>
  <c r="G55" i="8"/>
  <c r="E55" i="8"/>
  <c r="O54" i="8"/>
  <c r="Q54" i="8" s="1"/>
  <c r="I54" i="8"/>
  <c r="G54" i="8"/>
  <c r="E54" i="8"/>
  <c r="Q53" i="8"/>
  <c r="O53" i="8"/>
  <c r="I53" i="8"/>
  <c r="G53" i="8"/>
  <c r="E53" i="8"/>
  <c r="O52" i="8"/>
  <c r="Q52" i="8" s="1"/>
  <c r="I52" i="8"/>
  <c r="G52" i="8"/>
  <c r="E52" i="8"/>
  <c r="O51" i="8"/>
  <c r="Q51" i="8" s="1"/>
  <c r="I51" i="8"/>
  <c r="G51" i="8"/>
  <c r="E51" i="8"/>
  <c r="O50" i="8"/>
  <c r="Q50" i="8" s="1"/>
  <c r="I50" i="8"/>
  <c r="G50" i="8"/>
  <c r="E50" i="8"/>
  <c r="O49" i="8"/>
  <c r="Q49" i="8" s="1"/>
  <c r="I49" i="8"/>
  <c r="G49" i="8"/>
  <c r="E49" i="8"/>
  <c r="O48" i="8"/>
  <c r="Q48" i="8" s="1"/>
  <c r="I48" i="8"/>
  <c r="G48" i="8"/>
  <c r="E48" i="8"/>
  <c r="O47" i="8"/>
  <c r="Q47" i="8" s="1"/>
  <c r="I47" i="8"/>
  <c r="G47" i="8"/>
  <c r="E47" i="8"/>
  <c r="O46" i="8"/>
  <c r="Q46" i="8" s="1"/>
  <c r="I46" i="8"/>
  <c r="G46" i="8"/>
  <c r="E46" i="8"/>
  <c r="Q45" i="8"/>
  <c r="O45" i="8"/>
  <c r="I45" i="8"/>
  <c r="G45" i="8"/>
  <c r="E45" i="8"/>
  <c r="O44" i="8"/>
  <c r="Q44" i="8" s="1"/>
  <c r="I44" i="8"/>
  <c r="G44" i="8"/>
  <c r="E44" i="8"/>
  <c r="O43" i="8"/>
  <c r="Q43" i="8" s="1"/>
  <c r="I43" i="8"/>
  <c r="G43" i="8"/>
  <c r="E43" i="8"/>
  <c r="O42" i="8"/>
  <c r="Q42" i="8" s="1"/>
  <c r="I42" i="8"/>
  <c r="G42" i="8"/>
  <c r="E42" i="8"/>
  <c r="O41" i="8"/>
  <c r="Q41" i="8" s="1"/>
  <c r="I41" i="8"/>
  <c r="G41" i="8"/>
  <c r="E41" i="8"/>
  <c r="O40" i="8"/>
  <c r="Q40" i="8" s="1"/>
  <c r="I40" i="8"/>
  <c r="G40" i="8"/>
  <c r="E40" i="8"/>
  <c r="O39" i="8"/>
  <c r="Q39" i="8" s="1"/>
  <c r="I39" i="8"/>
  <c r="G39" i="8"/>
  <c r="E39" i="8"/>
  <c r="Q38" i="8"/>
  <c r="O38" i="8"/>
  <c r="I38" i="8"/>
  <c r="G38" i="8"/>
  <c r="E38" i="8"/>
  <c r="E37" i="8"/>
  <c r="M36" i="8"/>
  <c r="G36" i="8"/>
  <c r="E36" i="8"/>
  <c r="O35" i="8"/>
  <c r="M35" i="8"/>
  <c r="K35" i="8"/>
  <c r="I35" i="8"/>
  <c r="G35" i="8"/>
  <c r="E35" i="8"/>
  <c r="Q34" i="8"/>
  <c r="Q35" i="8" s="1"/>
  <c r="E34" i="8"/>
  <c r="E33" i="8"/>
  <c r="M32" i="8"/>
  <c r="K32" i="8"/>
  <c r="K36" i="8" s="1"/>
  <c r="I32" i="8"/>
  <c r="G32" i="8"/>
  <c r="E32" i="8"/>
  <c r="O31" i="8"/>
  <c r="Q31" i="8" s="1"/>
  <c r="E31" i="8"/>
  <c r="Q30" i="8"/>
  <c r="O30" i="8"/>
  <c r="E30" i="8"/>
  <c r="Q29" i="8"/>
  <c r="O29" i="8"/>
  <c r="E29" i="8"/>
  <c r="O28" i="8"/>
  <c r="Q28" i="8" s="1"/>
  <c r="E28" i="8"/>
  <c r="E27" i="8"/>
  <c r="E26" i="8"/>
  <c r="K25" i="8"/>
  <c r="K81" i="8" s="1"/>
  <c r="E25" i="8"/>
  <c r="M24" i="8"/>
  <c r="O24" i="8" s="1"/>
  <c r="Q24" i="8" s="1"/>
  <c r="I24" i="8"/>
  <c r="G24" i="8"/>
  <c r="E24" i="8"/>
  <c r="Q23" i="8"/>
  <c r="M23" i="8"/>
  <c r="O23" i="8" s="1"/>
  <c r="I23" i="8"/>
  <c r="G23" i="8"/>
  <c r="E23" i="8"/>
  <c r="Q22" i="8"/>
  <c r="O22" i="8"/>
  <c r="M22" i="8"/>
  <c r="I22" i="8"/>
  <c r="G22" i="8"/>
  <c r="E22" i="8"/>
  <c r="Q21" i="8"/>
  <c r="M21" i="8"/>
  <c r="O21" i="8" s="1"/>
  <c r="I21" i="8"/>
  <c r="G21" i="8"/>
  <c r="E21" i="8"/>
  <c r="O20" i="8"/>
  <c r="Q20" i="8" s="1"/>
  <c r="I20" i="8"/>
  <c r="G20" i="8"/>
  <c r="E20" i="8"/>
  <c r="O19" i="8"/>
  <c r="Q19" i="8" s="1"/>
  <c r="M19" i="8"/>
  <c r="I19" i="8"/>
  <c r="G19" i="8"/>
  <c r="E19" i="8"/>
  <c r="M18" i="8"/>
  <c r="O18" i="8" s="1"/>
  <c r="Q18" i="8" s="1"/>
  <c r="I18" i="8"/>
  <c r="G18" i="8"/>
  <c r="E18" i="8"/>
  <c r="O17" i="8"/>
  <c r="Q17" i="8" s="1"/>
  <c r="M17" i="8"/>
  <c r="I17" i="8"/>
  <c r="G17" i="8"/>
  <c r="E17" i="8"/>
  <c r="Q16" i="8"/>
  <c r="O16" i="8"/>
  <c r="I16" i="8"/>
  <c r="G16" i="8"/>
  <c r="E16" i="8"/>
  <c r="O15" i="8"/>
  <c r="Q15" i="8" s="1"/>
  <c r="I15" i="8"/>
  <c r="G15" i="8"/>
  <c r="E15" i="8"/>
  <c r="O14" i="8"/>
  <c r="Q14" i="8" s="1"/>
  <c r="I14" i="8"/>
  <c r="G14" i="8"/>
  <c r="E14" i="8"/>
  <c r="Q13" i="8"/>
  <c r="O13" i="8"/>
  <c r="I13" i="8"/>
  <c r="G13" i="8"/>
  <c r="E13" i="8"/>
  <c r="O12" i="8"/>
  <c r="M12" i="8"/>
  <c r="M25" i="8" s="1"/>
  <c r="M81" i="8" s="1"/>
  <c r="I12" i="8"/>
  <c r="G12" i="8"/>
  <c r="E12" i="8"/>
  <c r="A2" i="8"/>
  <c r="G117" i="7"/>
  <c r="G90" i="7"/>
  <c r="G89" i="7"/>
  <c r="G76" i="7"/>
  <c r="G75" i="7"/>
  <c r="M67" i="7"/>
  <c r="K67" i="7"/>
  <c r="Q65" i="7"/>
  <c r="O65" i="7"/>
  <c r="I65" i="7"/>
  <c r="G65" i="7"/>
  <c r="E65" i="7"/>
  <c r="O64" i="7"/>
  <c r="Q64" i="7" s="1"/>
  <c r="I64" i="7"/>
  <c r="G64" i="7"/>
  <c r="E64" i="7"/>
  <c r="Q63" i="7"/>
  <c r="O63" i="7"/>
  <c r="I63" i="7"/>
  <c r="G63" i="7"/>
  <c r="E63" i="7"/>
  <c r="O62" i="7"/>
  <c r="Q62" i="7" s="1"/>
  <c r="I62" i="7"/>
  <c r="G62" i="7"/>
  <c r="E62" i="7"/>
  <c r="Q61" i="7"/>
  <c r="O61" i="7"/>
  <c r="I61" i="7"/>
  <c r="G61" i="7"/>
  <c r="E61" i="7"/>
  <c r="Q60" i="7"/>
  <c r="O60" i="7"/>
  <c r="I60" i="7"/>
  <c r="G60" i="7"/>
  <c r="E60" i="7"/>
  <c r="Q59" i="7"/>
  <c r="O59" i="7"/>
  <c r="I59" i="7"/>
  <c r="G59" i="7"/>
  <c r="E59" i="7"/>
  <c r="O58" i="7"/>
  <c r="Q58" i="7" s="1"/>
  <c r="I58" i="7"/>
  <c r="G58" i="7"/>
  <c r="E58" i="7"/>
  <c r="Q57" i="7"/>
  <c r="O57" i="7"/>
  <c r="I57" i="7"/>
  <c r="G57" i="7"/>
  <c r="E57" i="7"/>
  <c r="Q56" i="7"/>
  <c r="O56" i="7"/>
  <c r="I56" i="7"/>
  <c r="G56" i="7"/>
  <c r="E56" i="7"/>
  <c r="Q55" i="7"/>
  <c r="O55" i="7"/>
  <c r="I55" i="7"/>
  <c r="G55" i="7"/>
  <c r="E55" i="7"/>
  <c r="O54" i="7"/>
  <c r="Q54" i="7" s="1"/>
  <c r="I54" i="7"/>
  <c r="G54" i="7"/>
  <c r="E54" i="7"/>
  <c r="Q53" i="7"/>
  <c r="O53" i="7"/>
  <c r="I53" i="7"/>
  <c r="G53" i="7"/>
  <c r="E53" i="7"/>
  <c r="O52" i="7"/>
  <c r="Q52" i="7" s="1"/>
  <c r="I52" i="7"/>
  <c r="G52" i="7"/>
  <c r="E52" i="7"/>
  <c r="Q51" i="7"/>
  <c r="O51" i="7"/>
  <c r="I51" i="7"/>
  <c r="G51" i="7"/>
  <c r="E51" i="7"/>
  <c r="O50" i="7"/>
  <c r="Q50" i="7" s="1"/>
  <c r="I50" i="7"/>
  <c r="G50" i="7"/>
  <c r="E50" i="7"/>
  <c r="Q49" i="7"/>
  <c r="O49" i="7"/>
  <c r="I49" i="7"/>
  <c r="G49" i="7"/>
  <c r="E49" i="7"/>
  <c r="I48" i="7"/>
  <c r="G48" i="7"/>
  <c r="E48" i="7"/>
  <c r="Q47" i="7"/>
  <c r="O47" i="7"/>
  <c r="I47" i="7"/>
  <c r="G47" i="7"/>
  <c r="E47" i="7"/>
  <c r="Q46" i="7"/>
  <c r="O46" i="7"/>
  <c r="I46" i="7"/>
  <c r="G46" i="7"/>
  <c r="E46" i="7"/>
  <c r="Q45" i="7"/>
  <c r="O45" i="7"/>
  <c r="I45" i="7"/>
  <c r="G45" i="7"/>
  <c r="E45" i="7"/>
  <c r="O44" i="7"/>
  <c r="Q44" i="7" s="1"/>
  <c r="I44" i="7"/>
  <c r="G44" i="7"/>
  <c r="E44" i="7"/>
  <c r="Q43" i="7"/>
  <c r="O43" i="7"/>
  <c r="I43" i="7"/>
  <c r="G43" i="7"/>
  <c r="E43" i="7"/>
  <c r="Q42" i="7"/>
  <c r="O42" i="7"/>
  <c r="I42" i="7"/>
  <c r="G42" i="7"/>
  <c r="E42" i="7"/>
  <c r="Q41" i="7"/>
  <c r="O41" i="7"/>
  <c r="I41" i="7"/>
  <c r="G41" i="7"/>
  <c r="E41" i="7"/>
  <c r="O40" i="7"/>
  <c r="Q40" i="7" s="1"/>
  <c r="I40" i="7"/>
  <c r="G40" i="7"/>
  <c r="E40" i="7"/>
  <c r="Q39" i="7"/>
  <c r="O39" i="7"/>
  <c r="I39" i="7"/>
  <c r="G39" i="7"/>
  <c r="E39" i="7"/>
  <c r="Q38" i="7"/>
  <c r="O38" i="7"/>
  <c r="I38" i="7"/>
  <c r="G38" i="7"/>
  <c r="E38" i="7"/>
  <c r="Q37" i="7"/>
  <c r="O37" i="7"/>
  <c r="I37" i="7"/>
  <c r="G37" i="7"/>
  <c r="E37" i="7"/>
  <c r="O36" i="7"/>
  <c r="Q36" i="7" s="1"/>
  <c r="I36" i="7"/>
  <c r="G36" i="7"/>
  <c r="E36" i="7"/>
  <c r="Q35" i="7"/>
  <c r="O35" i="7"/>
  <c r="I35" i="7"/>
  <c r="G35" i="7"/>
  <c r="E35" i="7"/>
  <c r="Q34" i="7"/>
  <c r="O34" i="7"/>
  <c r="I34" i="7"/>
  <c r="G34" i="7"/>
  <c r="E34" i="7"/>
  <c r="Q33" i="7"/>
  <c r="O33" i="7"/>
  <c r="I33" i="7"/>
  <c r="G33" i="7"/>
  <c r="E33" i="7"/>
  <c r="O32" i="7"/>
  <c r="I32" i="7"/>
  <c r="G32" i="7"/>
  <c r="E32" i="7"/>
  <c r="Q31" i="7"/>
  <c r="O31" i="7"/>
  <c r="I31" i="7"/>
  <c r="G31" i="7"/>
  <c r="E31" i="7"/>
  <c r="Q30" i="7"/>
  <c r="O30" i="7"/>
  <c r="I30" i="7"/>
  <c r="G30" i="7"/>
  <c r="E30" i="7"/>
  <c r="E29" i="7"/>
  <c r="O28" i="7"/>
  <c r="M28" i="7"/>
  <c r="K28" i="7"/>
  <c r="I28" i="7"/>
  <c r="G28" i="7"/>
  <c r="E28" i="7"/>
  <c r="Q27" i="7"/>
  <c r="E27" i="7"/>
  <c r="Q26" i="7"/>
  <c r="O26" i="7"/>
  <c r="E26" i="7"/>
  <c r="E25" i="7"/>
  <c r="E24" i="7"/>
  <c r="K23" i="7"/>
  <c r="K68" i="7" s="1"/>
  <c r="E23" i="7"/>
  <c r="M22" i="7"/>
  <c r="O22" i="7" s="1"/>
  <c r="Q22" i="7" s="1"/>
  <c r="I22" i="7"/>
  <c r="G22" i="7"/>
  <c r="E22" i="7"/>
  <c r="Q21" i="7"/>
  <c r="O21" i="7"/>
  <c r="M21" i="7"/>
  <c r="I21" i="7"/>
  <c r="G21" i="7"/>
  <c r="E21" i="7"/>
  <c r="M20" i="7"/>
  <c r="O20" i="7" s="1"/>
  <c r="Q20" i="7" s="1"/>
  <c r="I20" i="7"/>
  <c r="G20" i="7"/>
  <c r="E20" i="7"/>
  <c r="M19" i="7"/>
  <c r="O19" i="7" s="1"/>
  <c r="Q19" i="7" s="1"/>
  <c r="I19" i="7"/>
  <c r="G19" i="7"/>
  <c r="E19" i="7"/>
  <c r="O18" i="7"/>
  <c r="Q18" i="7" s="1"/>
  <c r="I18" i="7"/>
  <c r="G18" i="7"/>
  <c r="E18" i="7"/>
  <c r="O17" i="7"/>
  <c r="Q17" i="7" s="1"/>
  <c r="M17" i="7"/>
  <c r="I17" i="7"/>
  <c r="G17" i="7"/>
  <c r="E17" i="7"/>
  <c r="O16" i="7"/>
  <c r="Q16" i="7" s="1"/>
  <c r="M16" i="7"/>
  <c r="I16" i="7"/>
  <c r="G16" i="7"/>
  <c r="E16" i="7"/>
  <c r="O15" i="7"/>
  <c r="Q15" i="7" s="1"/>
  <c r="I15" i="7"/>
  <c r="G15" i="7"/>
  <c r="E15" i="7"/>
  <c r="O14" i="7"/>
  <c r="Q14" i="7" s="1"/>
  <c r="I14" i="7"/>
  <c r="G14" i="7"/>
  <c r="E14" i="7"/>
  <c r="Q13" i="7"/>
  <c r="O13" i="7"/>
  <c r="I13" i="7"/>
  <c r="G13" i="7"/>
  <c r="E13" i="7"/>
  <c r="M12" i="7"/>
  <c r="O12" i="7" s="1"/>
  <c r="Q12" i="7" s="1"/>
  <c r="I12" i="7"/>
  <c r="G12" i="7"/>
  <c r="E12" i="7"/>
  <c r="M8" i="7"/>
  <c r="A2" i="7"/>
  <c r="G47" i="6"/>
  <c r="G46" i="6"/>
  <c r="M37" i="6"/>
  <c r="M36" i="6"/>
  <c r="K36" i="6"/>
  <c r="Q34" i="6"/>
  <c r="O34" i="6"/>
  <c r="I34" i="6"/>
  <c r="G34" i="6"/>
  <c r="E34" i="6"/>
  <c r="O33" i="6"/>
  <c r="Q33" i="6" s="1"/>
  <c r="I33" i="6"/>
  <c r="G33" i="6"/>
  <c r="E33" i="6"/>
  <c r="O32" i="6"/>
  <c r="Q32" i="6" s="1"/>
  <c r="I32" i="6"/>
  <c r="G32" i="6"/>
  <c r="E32" i="6"/>
  <c r="O31" i="6"/>
  <c r="Q31" i="6" s="1"/>
  <c r="I31" i="6"/>
  <c r="G31" i="6"/>
  <c r="E31" i="6"/>
  <c r="Q30" i="6"/>
  <c r="O30" i="6"/>
  <c r="I30" i="6"/>
  <c r="G30" i="6"/>
  <c r="E30" i="6"/>
  <c r="O29" i="6"/>
  <c r="Q29" i="6" s="1"/>
  <c r="I29" i="6"/>
  <c r="G29" i="6"/>
  <c r="E29" i="6"/>
  <c r="Q28" i="6"/>
  <c r="O28" i="6"/>
  <c r="I28" i="6"/>
  <c r="G28" i="6"/>
  <c r="E28" i="6"/>
  <c r="O27" i="6"/>
  <c r="Q27" i="6" s="1"/>
  <c r="I27" i="6"/>
  <c r="G27" i="6"/>
  <c r="E27" i="6"/>
  <c r="O26" i="6"/>
  <c r="Q26" i="6" s="1"/>
  <c r="I26" i="6"/>
  <c r="G26" i="6"/>
  <c r="E26" i="6"/>
  <c r="O25" i="6"/>
  <c r="Q25" i="6" s="1"/>
  <c r="I25" i="6"/>
  <c r="G25" i="6"/>
  <c r="E25" i="6"/>
  <c r="Q24" i="6"/>
  <c r="O24" i="6"/>
  <c r="I24" i="6"/>
  <c r="G24" i="6"/>
  <c r="E24" i="6"/>
  <c r="O23" i="6"/>
  <c r="Q23" i="6" s="1"/>
  <c r="I23" i="6"/>
  <c r="G23" i="6"/>
  <c r="E23" i="6"/>
  <c r="O22" i="6"/>
  <c r="Q22" i="6" s="1"/>
  <c r="I22" i="6"/>
  <c r="G22" i="6"/>
  <c r="E22" i="6"/>
  <c r="Q21" i="6"/>
  <c r="I21" i="6"/>
  <c r="G21" i="6"/>
  <c r="E21" i="6"/>
  <c r="O20" i="6"/>
  <c r="Q20" i="6" s="1"/>
  <c r="I20" i="6"/>
  <c r="G20" i="6"/>
  <c r="E20" i="6"/>
  <c r="Q19" i="6"/>
  <c r="O19" i="6"/>
  <c r="I19" i="6"/>
  <c r="G19" i="6"/>
  <c r="E19" i="6"/>
  <c r="I18" i="6"/>
  <c r="G18" i="6"/>
  <c r="E18" i="6"/>
  <c r="O17" i="6"/>
  <c r="I17" i="6"/>
  <c r="G17" i="6"/>
  <c r="E17" i="6"/>
  <c r="E16" i="6"/>
  <c r="M15" i="6"/>
  <c r="K15" i="6"/>
  <c r="K37" i="6" s="1"/>
  <c r="E15" i="6"/>
  <c r="O14" i="6"/>
  <c r="Q14" i="6" s="1"/>
  <c r="M14" i="6"/>
  <c r="I14" i="6"/>
  <c r="G14" i="6"/>
  <c r="E14" i="6"/>
  <c r="Q13" i="6"/>
  <c r="O13" i="6"/>
  <c r="I13" i="6"/>
  <c r="G13" i="6"/>
  <c r="E13" i="6"/>
  <c r="O12" i="6"/>
  <c r="O15" i="6" s="1"/>
  <c r="I12" i="6"/>
  <c r="I15" i="6" s="1"/>
  <c r="G12" i="6"/>
  <c r="G15" i="6" s="1"/>
  <c r="E12" i="6"/>
  <c r="M8" i="6"/>
  <c r="A2" i="6"/>
  <c r="G134" i="5"/>
  <c r="M126" i="5"/>
  <c r="K126" i="5"/>
  <c r="K127" i="5" s="1"/>
  <c r="O124" i="5"/>
  <c r="Q124" i="5" s="1"/>
  <c r="I124" i="5"/>
  <c r="G124" i="5"/>
  <c r="E124" i="5"/>
  <c r="O123" i="5"/>
  <c r="Q123" i="5" s="1"/>
  <c r="I123" i="5"/>
  <c r="G123" i="5"/>
  <c r="E123" i="5"/>
  <c r="Q122" i="5"/>
  <c r="O122" i="5"/>
  <c r="I122" i="5"/>
  <c r="G122" i="5"/>
  <c r="E122" i="5"/>
  <c r="Q121" i="5"/>
  <c r="O121" i="5"/>
  <c r="I121" i="5"/>
  <c r="G121" i="5"/>
  <c r="E121" i="5"/>
  <c r="O120" i="5"/>
  <c r="Q120" i="5" s="1"/>
  <c r="I120" i="5"/>
  <c r="G120" i="5"/>
  <c r="E120" i="5"/>
  <c r="O119" i="5"/>
  <c r="Q119" i="5" s="1"/>
  <c r="I119" i="5"/>
  <c r="G119" i="5"/>
  <c r="E119" i="5"/>
  <c r="Q118" i="5"/>
  <c r="O118" i="5"/>
  <c r="I118" i="5"/>
  <c r="G118" i="5"/>
  <c r="E118" i="5"/>
  <c r="Q117" i="5"/>
  <c r="O117" i="5"/>
  <c r="I117" i="5"/>
  <c r="G117" i="5"/>
  <c r="E117" i="5"/>
  <c r="O116" i="5"/>
  <c r="Q116" i="5" s="1"/>
  <c r="I116" i="5"/>
  <c r="G116" i="5"/>
  <c r="E116" i="5"/>
  <c r="O115" i="5"/>
  <c r="Q115" i="5" s="1"/>
  <c r="I115" i="5"/>
  <c r="G115" i="5"/>
  <c r="E115" i="5"/>
  <c r="Q114" i="5"/>
  <c r="O114" i="5"/>
  <c r="I114" i="5"/>
  <c r="G114" i="5"/>
  <c r="E114" i="5"/>
  <c r="Q113" i="5"/>
  <c r="O113" i="5"/>
  <c r="I113" i="5"/>
  <c r="G113" i="5"/>
  <c r="E113" i="5"/>
  <c r="O112" i="5"/>
  <c r="Q112" i="5" s="1"/>
  <c r="I112" i="5"/>
  <c r="G112" i="5"/>
  <c r="E112" i="5"/>
  <c r="O111" i="5"/>
  <c r="Q111" i="5" s="1"/>
  <c r="I111" i="5"/>
  <c r="G111" i="5"/>
  <c r="E111" i="5"/>
  <c r="Q110" i="5"/>
  <c r="O110" i="5"/>
  <c r="I110" i="5"/>
  <c r="G110" i="5"/>
  <c r="E110" i="5"/>
  <c r="Q109" i="5"/>
  <c r="O109" i="5"/>
  <c r="I109" i="5"/>
  <c r="G109" i="5"/>
  <c r="E109" i="5"/>
  <c r="O108" i="5"/>
  <c r="Q108" i="5" s="1"/>
  <c r="I108" i="5"/>
  <c r="G108" i="5"/>
  <c r="E108" i="5"/>
  <c r="O107" i="5"/>
  <c r="Q107" i="5" s="1"/>
  <c r="I107" i="5"/>
  <c r="G107" i="5"/>
  <c r="E107" i="5"/>
  <c r="Q106" i="5"/>
  <c r="O106" i="5"/>
  <c r="I106" i="5"/>
  <c r="G106" i="5"/>
  <c r="E106" i="5"/>
  <c r="Q105" i="5"/>
  <c r="O105" i="5"/>
  <c r="I105" i="5"/>
  <c r="G105" i="5"/>
  <c r="E105" i="5"/>
  <c r="O104" i="5"/>
  <c r="Q104" i="5" s="1"/>
  <c r="I104" i="5"/>
  <c r="G104" i="5"/>
  <c r="E104" i="5"/>
  <c r="O103" i="5"/>
  <c r="Q103" i="5" s="1"/>
  <c r="I103" i="5"/>
  <c r="G103" i="5"/>
  <c r="E103" i="5"/>
  <c r="Q102" i="5"/>
  <c r="O102" i="5"/>
  <c r="I102" i="5"/>
  <c r="G102" i="5"/>
  <c r="E102" i="5"/>
  <c r="I101" i="5"/>
  <c r="G101" i="5"/>
  <c r="E101" i="5"/>
  <c r="Q100" i="5"/>
  <c r="O100" i="5"/>
  <c r="I100" i="5"/>
  <c r="G100" i="5"/>
  <c r="E100" i="5"/>
  <c r="O99" i="5"/>
  <c r="Q99" i="5" s="1"/>
  <c r="I99" i="5"/>
  <c r="G99" i="5"/>
  <c r="E99" i="5"/>
  <c r="Q98" i="5"/>
  <c r="O98" i="5"/>
  <c r="I98" i="5"/>
  <c r="G98" i="5"/>
  <c r="E98" i="5"/>
  <c r="O97" i="5"/>
  <c r="Q97" i="5" s="1"/>
  <c r="I97" i="5"/>
  <c r="G97" i="5"/>
  <c r="E97" i="5"/>
  <c r="I96" i="5"/>
  <c r="G96" i="5"/>
  <c r="E96" i="5"/>
  <c r="O95" i="5"/>
  <c r="Q95" i="5" s="1"/>
  <c r="I95" i="5"/>
  <c r="G95" i="5"/>
  <c r="E95" i="5"/>
  <c r="O94" i="5"/>
  <c r="Q94" i="5" s="1"/>
  <c r="I94" i="5"/>
  <c r="G94" i="5"/>
  <c r="E94" i="5"/>
  <c r="O93" i="5"/>
  <c r="Q93" i="5" s="1"/>
  <c r="I93" i="5"/>
  <c r="G93" i="5"/>
  <c r="E93" i="5"/>
  <c r="O92" i="5"/>
  <c r="Q92" i="5" s="1"/>
  <c r="I92" i="5"/>
  <c r="G92" i="5"/>
  <c r="E92" i="5"/>
  <c r="O91" i="5"/>
  <c r="Q91" i="5" s="1"/>
  <c r="I91" i="5"/>
  <c r="G91" i="5"/>
  <c r="E91" i="5"/>
  <c r="O90" i="5"/>
  <c r="Q90" i="5" s="1"/>
  <c r="I90" i="5"/>
  <c r="G90" i="5"/>
  <c r="E90" i="5"/>
  <c r="O89" i="5"/>
  <c r="Q89" i="5" s="1"/>
  <c r="I89" i="5"/>
  <c r="G89" i="5"/>
  <c r="E89" i="5"/>
  <c r="O88" i="5"/>
  <c r="Q88" i="5" s="1"/>
  <c r="I88" i="5"/>
  <c r="G88" i="5"/>
  <c r="E88" i="5"/>
  <c r="Q87" i="5"/>
  <c r="O87" i="5"/>
  <c r="I87" i="5"/>
  <c r="G87" i="5"/>
  <c r="E87" i="5"/>
  <c r="Q86" i="5"/>
  <c r="O86" i="5"/>
  <c r="I86" i="5"/>
  <c r="G86" i="5"/>
  <c r="E86" i="5"/>
  <c r="O85" i="5"/>
  <c r="Q85" i="5" s="1"/>
  <c r="I85" i="5"/>
  <c r="G85" i="5"/>
  <c r="E85" i="5"/>
  <c r="O84" i="5"/>
  <c r="Q84" i="5" s="1"/>
  <c r="I84" i="5"/>
  <c r="G84" i="5"/>
  <c r="E84" i="5"/>
  <c r="Q83" i="5"/>
  <c r="O83" i="5"/>
  <c r="I83" i="5"/>
  <c r="G83" i="5"/>
  <c r="E83" i="5"/>
  <c r="Q82" i="5"/>
  <c r="O82" i="5"/>
  <c r="I82" i="5"/>
  <c r="G82" i="5"/>
  <c r="E82" i="5"/>
  <c r="O81" i="5"/>
  <c r="Q81" i="5" s="1"/>
  <c r="I81" i="5"/>
  <c r="G81" i="5"/>
  <c r="E81" i="5"/>
  <c r="Q80" i="5"/>
  <c r="O80" i="5"/>
  <c r="I80" i="5"/>
  <c r="G80" i="5"/>
  <c r="E80" i="5"/>
  <c r="Q79" i="5"/>
  <c r="O79" i="5"/>
  <c r="I79" i="5"/>
  <c r="G79" i="5"/>
  <c r="E79" i="5"/>
  <c r="O78" i="5"/>
  <c r="Q78" i="5" s="1"/>
  <c r="I78" i="5"/>
  <c r="G78" i="5"/>
  <c r="E78" i="5"/>
  <c r="O77" i="5"/>
  <c r="Q77" i="5" s="1"/>
  <c r="I77" i="5"/>
  <c r="G77" i="5"/>
  <c r="E77" i="5"/>
  <c r="Q76" i="5"/>
  <c r="O76" i="5"/>
  <c r="I76" i="5"/>
  <c r="G76" i="5"/>
  <c r="E76" i="5"/>
  <c r="Q75" i="5"/>
  <c r="O75" i="5"/>
  <c r="I75" i="5"/>
  <c r="G75" i="5"/>
  <c r="E75" i="5"/>
  <c r="O74" i="5"/>
  <c r="Q74" i="5" s="1"/>
  <c r="I74" i="5"/>
  <c r="G74" i="5"/>
  <c r="E74" i="5"/>
  <c r="O73" i="5"/>
  <c r="Q73" i="5" s="1"/>
  <c r="I73" i="5"/>
  <c r="G73" i="5"/>
  <c r="E73" i="5"/>
  <c r="O72" i="5"/>
  <c r="Q72" i="5" s="1"/>
  <c r="I72" i="5"/>
  <c r="G72" i="5"/>
  <c r="E72" i="5"/>
  <c r="O71" i="5"/>
  <c r="Q71" i="5" s="1"/>
  <c r="I71" i="5"/>
  <c r="G71" i="5"/>
  <c r="E71" i="5"/>
  <c r="O70" i="5"/>
  <c r="Q70" i="5" s="1"/>
  <c r="I70" i="5"/>
  <c r="G70" i="5"/>
  <c r="E70" i="5"/>
  <c r="O69" i="5"/>
  <c r="Q69" i="5" s="1"/>
  <c r="I69" i="5"/>
  <c r="G69" i="5"/>
  <c r="E69" i="5"/>
  <c r="O68" i="5"/>
  <c r="I68" i="5"/>
  <c r="G68" i="5"/>
  <c r="E68" i="5"/>
  <c r="O67" i="5"/>
  <c r="Q67" i="5" s="1"/>
  <c r="I67" i="5"/>
  <c r="G67" i="5"/>
  <c r="E67" i="5"/>
  <c r="Q66" i="5"/>
  <c r="O66" i="5"/>
  <c r="I66" i="5"/>
  <c r="G66" i="5"/>
  <c r="E66" i="5"/>
  <c r="E65" i="5"/>
  <c r="K64" i="5"/>
  <c r="I64" i="5"/>
  <c r="G64" i="5"/>
  <c r="E64" i="5"/>
  <c r="Q63" i="5"/>
  <c r="O63" i="5"/>
  <c r="M63" i="5"/>
  <c r="K63" i="5"/>
  <c r="I63" i="5"/>
  <c r="G63" i="5"/>
  <c r="E63" i="5"/>
  <c r="Q62" i="5"/>
  <c r="O62" i="5"/>
  <c r="E62" i="5"/>
  <c r="E61" i="5"/>
  <c r="M60" i="5"/>
  <c r="M64" i="5" s="1"/>
  <c r="K60" i="5"/>
  <c r="I60" i="5"/>
  <c r="G60" i="5"/>
  <c r="E60" i="5"/>
  <c r="E59" i="5"/>
  <c r="Q58" i="5"/>
  <c r="O58" i="5"/>
  <c r="E58" i="5"/>
  <c r="O57" i="5"/>
  <c r="Q57" i="5" s="1"/>
  <c r="E57" i="5"/>
  <c r="Q56" i="5"/>
  <c r="O56" i="5"/>
  <c r="E56" i="5"/>
  <c r="Q55" i="5"/>
  <c r="O55" i="5"/>
  <c r="E55" i="5"/>
  <c r="Q54" i="5"/>
  <c r="O54" i="5"/>
  <c r="E54" i="5"/>
  <c r="O53" i="5"/>
  <c r="Q53" i="5" s="1"/>
  <c r="E53" i="5"/>
  <c r="O52" i="5"/>
  <c r="Q52" i="5" s="1"/>
  <c r="E52" i="5"/>
  <c r="O51" i="5"/>
  <c r="Q51" i="5" s="1"/>
  <c r="E51" i="5"/>
  <c r="Q50" i="5"/>
  <c r="O50" i="5"/>
  <c r="E50" i="5"/>
  <c r="Q49" i="5"/>
  <c r="O49" i="5"/>
  <c r="E49" i="5"/>
  <c r="O48" i="5"/>
  <c r="Q48" i="5" s="1"/>
  <c r="E48" i="5"/>
  <c r="O47" i="5"/>
  <c r="Q47" i="5" s="1"/>
  <c r="E47" i="5"/>
  <c r="O46" i="5"/>
  <c r="E46" i="5"/>
  <c r="E45" i="5"/>
  <c r="E44" i="5"/>
  <c r="M43" i="5"/>
  <c r="K43" i="5"/>
  <c r="E43" i="5"/>
  <c r="Q42" i="5"/>
  <c r="O42" i="5"/>
  <c r="M42" i="5"/>
  <c r="I42" i="5"/>
  <c r="G42" i="5"/>
  <c r="E42" i="5"/>
  <c r="M41" i="5"/>
  <c r="O41" i="5" s="1"/>
  <c r="Q41" i="5" s="1"/>
  <c r="I41" i="5"/>
  <c r="G41" i="5"/>
  <c r="E41" i="5"/>
  <c r="O40" i="5"/>
  <c r="Q40" i="5" s="1"/>
  <c r="M40" i="5"/>
  <c r="I40" i="5"/>
  <c r="G40" i="5"/>
  <c r="E40" i="5"/>
  <c r="M39" i="5"/>
  <c r="O39" i="5" s="1"/>
  <c r="Q39" i="5" s="1"/>
  <c r="I39" i="5"/>
  <c r="G39" i="5"/>
  <c r="E39" i="5"/>
  <c r="Q38" i="5"/>
  <c r="O38" i="5"/>
  <c r="I38" i="5"/>
  <c r="G38" i="5"/>
  <c r="E38" i="5"/>
  <c r="O37" i="5"/>
  <c r="Q37" i="5" s="1"/>
  <c r="I37" i="5"/>
  <c r="G37" i="5"/>
  <c r="E37" i="5"/>
  <c r="O36" i="5"/>
  <c r="Q36" i="5" s="1"/>
  <c r="I36" i="5"/>
  <c r="G36" i="5"/>
  <c r="E36" i="5"/>
  <c r="M35" i="5"/>
  <c r="O35" i="5" s="1"/>
  <c r="Q35" i="5" s="1"/>
  <c r="I35" i="5"/>
  <c r="G35" i="5"/>
  <c r="E35" i="5"/>
  <c r="M34" i="5"/>
  <c r="O34" i="5" s="1"/>
  <c r="I34" i="5"/>
  <c r="G34" i="5"/>
  <c r="E34" i="5"/>
  <c r="O33" i="5"/>
  <c r="Q33" i="5" s="1"/>
  <c r="I33" i="5"/>
  <c r="G33" i="5"/>
  <c r="E33" i="5"/>
  <c r="Q32" i="5"/>
  <c r="O32" i="5"/>
  <c r="I32" i="5"/>
  <c r="G32" i="5"/>
  <c r="E32" i="5"/>
  <c r="O31" i="5"/>
  <c r="Q31" i="5" s="1"/>
  <c r="I31" i="5"/>
  <c r="G31" i="5"/>
  <c r="E31" i="5"/>
  <c r="O30" i="5"/>
  <c r="Q30" i="5" s="1"/>
  <c r="I30" i="5"/>
  <c r="G30" i="5"/>
  <c r="E30" i="5"/>
  <c r="O29" i="5"/>
  <c r="Q29" i="5" s="1"/>
  <c r="I29" i="5"/>
  <c r="G29" i="5"/>
  <c r="E29" i="5"/>
  <c r="Q28" i="5"/>
  <c r="O28" i="5"/>
  <c r="I28" i="5"/>
  <c r="G28" i="5"/>
  <c r="E28" i="5"/>
  <c r="O27" i="5"/>
  <c r="Q27" i="5" s="1"/>
  <c r="I27" i="5"/>
  <c r="G27" i="5"/>
  <c r="E27" i="5"/>
  <c r="O26" i="5"/>
  <c r="Q26" i="5" s="1"/>
  <c r="I26" i="5"/>
  <c r="G26" i="5"/>
  <c r="E26" i="5"/>
  <c r="O25" i="5"/>
  <c r="Q25" i="5" s="1"/>
  <c r="I25" i="5"/>
  <c r="G25" i="5"/>
  <c r="E25" i="5"/>
  <c r="G180" i="5" s="1"/>
  <c r="Q24" i="5"/>
  <c r="O24" i="5"/>
  <c r="I24" i="5"/>
  <c r="G24" i="5"/>
  <c r="E24" i="5"/>
  <c r="O23" i="5"/>
  <c r="Q23" i="5" s="1"/>
  <c r="I23" i="5"/>
  <c r="G23" i="5"/>
  <c r="E23" i="5"/>
  <c r="O22" i="5"/>
  <c r="Q22" i="5" s="1"/>
  <c r="I22" i="5"/>
  <c r="G22" i="5"/>
  <c r="E22" i="5"/>
  <c r="O21" i="5"/>
  <c r="Q21" i="5" s="1"/>
  <c r="I21" i="5"/>
  <c r="G21" i="5"/>
  <c r="E21" i="5"/>
  <c r="Q20" i="5"/>
  <c r="O20" i="5"/>
  <c r="I20" i="5"/>
  <c r="G20" i="5"/>
  <c r="E20" i="5"/>
  <c r="O19" i="5"/>
  <c r="Q19" i="5" s="1"/>
  <c r="I19" i="5"/>
  <c r="G19" i="5"/>
  <c r="E19" i="5"/>
  <c r="O18" i="5"/>
  <c r="Q18" i="5" s="1"/>
  <c r="I18" i="5"/>
  <c r="G18" i="5"/>
  <c r="E18" i="5"/>
  <c r="O17" i="5"/>
  <c r="Q17" i="5" s="1"/>
  <c r="I17" i="5"/>
  <c r="G17" i="5"/>
  <c r="E17" i="5"/>
  <c r="Q16" i="5"/>
  <c r="O16" i="5"/>
  <c r="I16" i="5"/>
  <c r="G16" i="5"/>
  <c r="E16" i="5"/>
  <c r="O15" i="5"/>
  <c r="Q15" i="5" s="1"/>
  <c r="I15" i="5"/>
  <c r="G15" i="5"/>
  <c r="E15" i="5"/>
  <c r="O14" i="5"/>
  <c r="Q14" i="5" s="1"/>
  <c r="I14" i="5"/>
  <c r="G14" i="5"/>
  <c r="E14" i="5"/>
  <c r="O13" i="5"/>
  <c r="Q13" i="5" s="1"/>
  <c r="I13" i="5"/>
  <c r="G13" i="5"/>
  <c r="E13" i="5"/>
  <c r="Q12" i="5"/>
  <c r="M12" i="5"/>
  <c r="O12" i="5" s="1"/>
  <c r="I12" i="5"/>
  <c r="G12" i="5"/>
  <c r="E12" i="5"/>
  <c r="G9" i="5"/>
  <c r="A2" i="5"/>
  <c r="G107" i="4"/>
  <c r="G106" i="4"/>
  <c r="G77" i="4"/>
  <c r="G76" i="4"/>
  <c r="G75" i="4"/>
  <c r="M62" i="4"/>
  <c r="K62" i="4"/>
  <c r="Q60" i="4"/>
  <c r="O60" i="4"/>
  <c r="I60" i="4"/>
  <c r="G60" i="4"/>
  <c r="E60" i="4"/>
  <c r="O59" i="4"/>
  <c r="Q59" i="4" s="1"/>
  <c r="I59" i="4"/>
  <c r="G59" i="4"/>
  <c r="E59" i="4"/>
  <c r="O58" i="4"/>
  <c r="Q58" i="4" s="1"/>
  <c r="I58" i="4"/>
  <c r="G58" i="4"/>
  <c r="E58" i="4"/>
  <c r="Q57" i="4"/>
  <c r="O57" i="4"/>
  <c r="I57" i="4"/>
  <c r="G57" i="4"/>
  <c r="E57" i="4"/>
  <c r="O56" i="4"/>
  <c r="Q56" i="4" s="1"/>
  <c r="I56" i="4"/>
  <c r="G56" i="4"/>
  <c r="E56" i="4"/>
  <c r="O55" i="4"/>
  <c r="Q55" i="4" s="1"/>
  <c r="I55" i="4"/>
  <c r="G55" i="4"/>
  <c r="E55" i="4"/>
  <c r="O54" i="4"/>
  <c r="Q54" i="4" s="1"/>
  <c r="I54" i="4"/>
  <c r="G54" i="4"/>
  <c r="E54" i="4"/>
  <c r="Q53" i="4"/>
  <c r="O53" i="4"/>
  <c r="I53" i="4"/>
  <c r="G53" i="4"/>
  <c r="E53" i="4"/>
  <c r="O52" i="4"/>
  <c r="Q52" i="4" s="1"/>
  <c r="I52" i="4"/>
  <c r="G52" i="4"/>
  <c r="E52" i="4"/>
  <c r="O51" i="4"/>
  <c r="Q51" i="4" s="1"/>
  <c r="I51" i="4"/>
  <c r="G51" i="4"/>
  <c r="E51" i="4"/>
  <c r="O50" i="4"/>
  <c r="Q50" i="4" s="1"/>
  <c r="I50" i="4"/>
  <c r="G50" i="4"/>
  <c r="E50" i="4"/>
  <c r="Q49" i="4"/>
  <c r="O49" i="4"/>
  <c r="I49" i="4"/>
  <c r="G49" i="4"/>
  <c r="E49" i="4"/>
  <c r="Q48" i="4"/>
  <c r="O48" i="4"/>
  <c r="I48" i="4"/>
  <c r="G48" i="4"/>
  <c r="E48" i="4"/>
  <c r="O47" i="4"/>
  <c r="Q47" i="4" s="1"/>
  <c r="I47" i="4"/>
  <c r="G47" i="4"/>
  <c r="E47" i="4"/>
  <c r="O46" i="4"/>
  <c r="Q46" i="4" s="1"/>
  <c r="I46" i="4"/>
  <c r="G46" i="4"/>
  <c r="E46" i="4"/>
  <c r="Q45" i="4"/>
  <c r="O45" i="4"/>
  <c r="I45" i="4"/>
  <c r="G45" i="4"/>
  <c r="E45" i="4"/>
  <c r="O44" i="4"/>
  <c r="Q44" i="4" s="1"/>
  <c r="I44" i="4"/>
  <c r="G44" i="4"/>
  <c r="E44" i="4"/>
  <c r="O43" i="4"/>
  <c r="Q43" i="4" s="1"/>
  <c r="I43" i="4"/>
  <c r="G43" i="4"/>
  <c r="E43" i="4"/>
  <c r="O42" i="4"/>
  <c r="Q42" i="4" s="1"/>
  <c r="I42" i="4"/>
  <c r="G42" i="4"/>
  <c r="E42" i="4"/>
  <c r="Q41" i="4"/>
  <c r="O41" i="4"/>
  <c r="I41" i="4"/>
  <c r="G41" i="4"/>
  <c r="E41" i="4"/>
  <c r="O40" i="4"/>
  <c r="Q40" i="4" s="1"/>
  <c r="I40" i="4"/>
  <c r="G40" i="4"/>
  <c r="E40" i="4"/>
  <c r="O39" i="4"/>
  <c r="Q39" i="4" s="1"/>
  <c r="I39" i="4"/>
  <c r="G39" i="4"/>
  <c r="E39" i="4"/>
  <c r="O38" i="4"/>
  <c r="Q38" i="4" s="1"/>
  <c r="I38" i="4"/>
  <c r="G38" i="4"/>
  <c r="E38" i="4"/>
  <c r="Q37" i="4"/>
  <c r="O37" i="4"/>
  <c r="I37" i="4"/>
  <c r="G37" i="4"/>
  <c r="E37" i="4"/>
  <c r="Q36" i="4"/>
  <c r="O36" i="4"/>
  <c r="I36" i="4"/>
  <c r="G36" i="4"/>
  <c r="E36" i="4"/>
  <c r="O35" i="4"/>
  <c r="Q35" i="4" s="1"/>
  <c r="I35" i="4"/>
  <c r="G35" i="4"/>
  <c r="E35" i="4"/>
  <c r="O34" i="4"/>
  <c r="Q34" i="4" s="1"/>
  <c r="I34" i="4"/>
  <c r="G34" i="4"/>
  <c r="E34" i="4"/>
  <c r="Q33" i="4"/>
  <c r="O33" i="4"/>
  <c r="I33" i="4"/>
  <c r="G33" i="4"/>
  <c r="E33" i="4"/>
  <c r="O32" i="4"/>
  <c r="Q32" i="4" s="1"/>
  <c r="I32" i="4"/>
  <c r="G32" i="4"/>
  <c r="E32" i="4"/>
  <c r="O31" i="4"/>
  <c r="Q31" i="4" s="1"/>
  <c r="I31" i="4"/>
  <c r="G31" i="4"/>
  <c r="E31" i="4"/>
  <c r="O30" i="4"/>
  <c r="Q30" i="4" s="1"/>
  <c r="I30" i="4"/>
  <c r="G30" i="4"/>
  <c r="E30" i="4"/>
  <c r="Q29" i="4"/>
  <c r="O29" i="4"/>
  <c r="I29" i="4"/>
  <c r="G29" i="4"/>
  <c r="E29" i="4"/>
  <c r="Q28" i="4"/>
  <c r="O28" i="4"/>
  <c r="I28" i="4"/>
  <c r="G28" i="4"/>
  <c r="E28" i="4"/>
  <c r="O27" i="4"/>
  <c r="Q27" i="4" s="1"/>
  <c r="I27" i="4"/>
  <c r="G27" i="4"/>
  <c r="E27" i="4"/>
  <c r="E26" i="4"/>
  <c r="M25" i="4"/>
  <c r="K25" i="4"/>
  <c r="I25" i="4"/>
  <c r="G25" i="4"/>
  <c r="E25" i="4"/>
  <c r="O24" i="4"/>
  <c r="E24" i="4"/>
  <c r="E23" i="4"/>
  <c r="E22" i="4"/>
  <c r="K21" i="4"/>
  <c r="K63" i="4" s="1"/>
  <c r="E21" i="4"/>
  <c r="M20" i="4"/>
  <c r="O20" i="4" s="1"/>
  <c r="Q20" i="4" s="1"/>
  <c r="I20" i="4"/>
  <c r="G20" i="4"/>
  <c r="E20" i="4"/>
  <c r="M19" i="4"/>
  <c r="O19" i="4" s="1"/>
  <c r="Q19" i="4" s="1"/>
  <c r="I19" i="4"/>
  <c r="G19" i="4"/>
  <c r="E19" i="4"/>
  <c r="Q18" i="4"/>
  <c r="O18" i="4"/>
  <c r="M18" i="4"/>
  <c r="I18" i="4"/>
  <c r="G18" i="4"/>
  <c r="E18" i="4"/>
  <c r="O17" i="4"/>
  <c r="Q17" i="4" s="1"/>
  <c r="M17" i="4"/>
  <c r="I17" i="4"/>
  <c r="G17" i="4"/>
  <c r="E17" i="4"/>
  <c r="O16" i="4"/>
  <c r="Q16" i="4" s="1"/>
  <c r="I16" i="4"/>
  <c r="G16" i="4"/>
  <c r="E16" i="4"/>
  <c r="M15" i="4"/>
  <c r="O15" i="4" s="1"/>
  <c r="Q15" i="4" s="1"/>
  <c r="I15" i="4"/>
  <c r="I21" i="4" s="1"/>
  <c r="G15" i="4"/>
  <c r="E15" i="4"/>
  <c r="O14" i="4"/>
  <c r="Q14" i="4" s="1"/>
  <c r="I14" i="4"/>
  <c r="G14" i="4"/>
  <c r="E14" i="4"/>
  <c r="Q13" i="4"/>
  <c r="O13" i="4"/>
  <c r="I13" i="4"/>
  <c r="G13" i="4"/>
  <c r="E13" i="4"/>
  <c r="M12" i="4"/>
  <c r="I12" i="4"/>
  <c r="G12" i="4"/>
  <c r="E12" i="4"/>
  <c r="G9" i="4"/>
  <c r="E9" i="13" s="1"/>
  <c r="A2" i="4"/>
  <c r="G67" i="3"/>
  <c r="G59" i="3"/>
  <c r="G58" i="3"/>
  <c r="G57" i="3"/>
  <c r="G53" i="3"/>
  <c r="M44" i="3"/>
  <c r="K44" i="3"/>
  <c r="O42" i="3"/>
  <c r="Q42" i="3" s="1"/>
  <c r="I42" i="3"/>
  <c r="G42" i="3"/>
  <c r="E42" i="3"/>
  <c r="O41" i="3"/>
  <c r="Q41" i="3" s="1"/>
  <c r="I41" i="3"/>
  <c r="G41" i="3"/>
  <c r="E41" i="3"/>
  <c r="O40" i="3"/>
  <c r="Q40" i="3" s="1"/>
  <c r="I40" i="3"/>
  <c r="G40" i="3"/>
  <c r="E40" i="3"/>
  <c r="O39" i="3"/>
  <c r="Q39" i="3" s="1"/>
  <c r="I39" i="3"/>
  <c r="G39" i="3"/>
  <c r="E39" i="3"/>
  <c r="Q38" i="3"/>
  <c r="O38" i="3"/>
  <c r="I38" i="3"/>
  <c r="G38" i="3"/>
  <c r="E38" i="3"/>
  <c r="O37" i="3"/>
  <c r="Q37" i="3" s="1"/>
  <c r="I37" i="3"/>
  <c r="G37" i="3"/>
  <c r="E37" i="3"/>
  <c r="O36" i="3"/>
  <c r="Q36" i="3" s="1"/>
  <c r="I36" i="3"/>
  <c r="G36" i="3"/>
  <c r="E36" i="3"/>
  <c r="O35" i="3"/>
  <c r="Q35" i="3" s="1"/>
  <c r="I35" i="3"/>
  <c r="G35" i="3"/>
  <c r="E35" i="3"/>
  <c r="Q34" i="3"/>
  <c r="O34" i="3"/>
  <c r="I34" i="3"/>
  <c r="G34" i="3"/>
  <c r="E34" i="3"/>
  <c r="O33" i="3"/>
  <c r="Q33" i="3" s="1"/>
  <c r="I33" i="3"/>
  <c r="G33" i="3"/>
  <c r="E33" i="3"/>
  <c r="I32" i="3"/>
  <c r="G32" i="3"/>
  <c r="E32" i="3"/>
  <c r="Q31" i="3"/>
  <c r="O31" i="3"/>
  <c r="I31" i="3"/>
  <c r="G31" i="3"/>
  <c r="E31" i="3"/>
  <c r="O30" i="3"/>
  <c r="Q30" i="3" s="1"/>
  <c r="I30" i="3"/>
  <c r="G30" i="3"/>
  <c r="E30" i="3"/>
  <c r="O29" i="3"/>
  <c r="Q29" i="3" s="1"/>
  <c r="I29" i="3"/>
  <c r="G29" i="3"/>
  <c r="E29" i="3"/>
  <c r="Q28" i="3"/>
  <c r="O28" i="3"/>
  <c r="I28" i="3"/>
  <c r="G28" i="3"/>
  <c r="E28" i="3"/>
  <c r="O27" i="3"/>
  <c r="Q27" i="3" s="1"/>
  <c r="I27" i="3"/>
  <c r="G27" i="3"/>
  <c r="E27" i="3"/>
  <c r="O26" i="3"/>
  <c r="Q26" i="3" s="1"/>
  <c r="I26" i="3"/>
  <c r="G26" i="3"/>
  <c r="E26" i="3"/>
  <c r="O25" i="3"/>
  <c r="Q25" i="3" s="1"/>
  <c r="I25" i="3"/>
  <c r="G25" i="3"/>
  <c r="E25" i="3"/>
  <c r="Q24" i="3"/>
  <c r="O24" i="3"/>
  <c r="I24" i="3"/>
  <c r="G24" i="3"/>
  <c r="E24" i="3"/>
  <c r="E23" i="3"/>
  <c r="O22" i="3"/>
  <c r="M22" i="3"/>
  <c r="K22" i="3"/>
  <c r="I22" i="3"/>
  <c r="G22" i="3"/>
  <c r="E22" i="3"/>
  <c r="O21" i="3"/>
  <c r="E21" i="3"/>
  <c r="E20" i="3"/>
  <c r="K19" i="3"/>
  <c r="K45" i="3" s="1"/>
  <c r="E19" i="3"/>
  <c r="M18" i="3"/>
  <c r="O18" i="3" s="1"/>
  <c r="Q18" i="3" s="1"/>
  <c r="I18" i="3"/>
  <c r="G18" i="3"/>
  <c r="E18" i="3"/>
  <c r="M17" i="3"/>
  <c r="O17" i="3" s="1"/>
  <c r="Q17" i="3" s="1"/>
  <c r="I17" i="3"/>
  <c r="G17" i="3"/>
  <c r="E17" i="3"/>
  <c r="G60" i="3" s="1"/>
  <c r="O16" i="3"/>
  <c r="Q16" i="3" s="1"/>
  <c r="M16" i="3"/>
  <c r="I16" i="3"/>
  <c r="G16" i="3"/>
  <c r="E16" i="3"/>
  <c r="Q15" i="3"/>
  <c r="M15" i="3"/>
  <c r="O15" i="3" s="1"/>
  <c r="I15" i="3"/>
  <c r="G15" i="3"/>
  <c r="E15" i="3"/>
  <c r="O14" i="3"/>
  <c r="Q14" i="3" s="1"/>
  <c r="I14" i="3"/>
  <c r="G14" i="3"/>
  <c r="E14" i="3"/>
  <c r="O13" i="3"/>
  <c r="Q13" i="3" s="1"/>
  <c r="I13" i="3"/>
  <c r="G13" i="3"/>
  <c r="E13" i="3"/>
  <c r="M12" i="3"/>
  <c r="O12" i="3" s="1"/>
  <c r="Q12" i="3" s="1"/>
  <c r="I12" i="3"/>
  <c r="G12" i="3"/>
  <c r="E12" i="3"/>
  <c r="A2" i="3"/>
  <c r="G94" i="2"/>
  <c r="G93" i="2"/>
  <c r="M57" i="2"/>
  <c r="K57" i="2"/>
  <c r="O55" i="2"/>
  <c r="Q55" i="2" s="1"/>
  <c r="I55" i="2"/>
  <c r="G55" i="2"/>
  <c r="E55" i="2"/>
  <c r="O54" i="2"/>
  <c r="Q54" i="2" s="1"/>
  <c r="I54" i="2"/>
  <c r="G54" i="2"/>
  <c r="E54" i="2"/>
  <c r="Q53" i="2"/>
  <c r="O53" i="2"/>
  <c r="I53" i="2"/>
  <c r="G53" i="2"/>
  <c r="E53" i="2"/>
  <c r="Q52" i="2"/>
  <c r="O52" i="2"/>
  <c r="I52" i="2"/>
  <c r="G52" i="2"/>
  <c r="E52" i="2"/>
  <c r="O51" i="2"/>
  <c r="Q51" i="2" s="1"/>
  <c r="I51" i="2"/>
  <c r="G51" i="2"/>
  <c r="E51" i="2"/>
  <c r="O50" i="2"/>
  <c r="Q50" i="2" s="1"/>
  <c r="I50" i="2"/>
  <c r="G50" i="2"/>
  <c r="E50" i="2"/>
  <c r="Q49" i="2"/>
  <c r="O49" i="2"/>
  <c r="I49" i="2"/>
  <c r="G49" i="2"/>
  <c r="E49" i="2"/>
  <c r="Q48" i="2"/>
  <c r="O48" i="2"/>
  <c r="I48" i="2"/>
  <c r="G48" i="2"/>
  <c r="E48" i="2"/>
  <c r="O47" i="2"/>
  <c r="Q47" i="2" s="1"/>
  <c r="I47" i="2"/>
  <c r="G47" i="2"/>
  <c r="E47" i="2"/>
  <c r="O46" i="2"/>
  <c r="Q46" i="2" s="1"/>
  <c r="I46" i="2"/>
  <c r="G46" i="2"/>
  <c r="E46" i="2"/>
  <c r="Q45" i="2"/>
  <c r="O45" i="2"/>
  <c r="I45" i="2"/>
  <c r="G45" i="2"/>
  <c r="E45" i="2"/>
  <c r="Q44" i="2"/>
  <c r="O44" i="2"/>
  <c r="I44" i="2"/>
  <c r="G44" i="2"/>
  <c r="E44" i="2"/>
  <c r="Q43" i="2"/>
  <c r="O43" i="2"/>
  <c r="I43" i="2"/>
  <c r="G43" i="2"/>
  <c r="E43" i="2"/>
  <c r="O42" i="2"/>
  <c r="Q42" i="2" s="1"/>
  <c r="I42" i="2"/>
  <c r="G42" i="2"/>
  <c r="E42" i="2"/>
  <c r="Q41" i="2"/>
  <c r="O41" i="2"/>
  <c r="I41" i="2"/>
  <c r="G41" i="2"/>
  <c r="E41" i="2"/>
  <c r="Q40" i="2"/>
  <c r="O40" i="2"/>
  <c r="I40" i="2"/>
  <c r="G40" i="2"/>
  <c r="E40" i="2"/>
  <c r="Q39" i="2"/>
  <c r="O39" i="2"/>
  <c r="I39" i="2"/>
  <c r="G39" i="2"/>
  <c r="E39" i="2"/>
  <c r="O38" i="2"/>
  <c r="Q38" i="2" s="1"/>
  <c r="I38" i="2"/>
  <c r="G38" i="2"/>
  <c r="E38" i="2"/>
  <c r="Q37" i="2"/>
  <c r="O37" i="2"/>
  <c r="I37" i="2"/>
  <c r="G37" i="2"/>
  <c r="E37" i="2"/>
  <c r="Q36" i="2"/>
  <c r="O36" i="2"/>
  <c r="I36" i="2"/>
  <c r="G36" i="2"/>
  <c r="E36" i="2"/>
  <c r="O35" i="2"/>
  <c r="I35" i="2"/>
  <c r="G35" i="2"/>
  <c r="E35" i="2"/>
  <c r="O34" i="2"/>
  <c r="Q34" i="2" s="1"/>
  <c r="I34" i="2"/>
  <c r="G34" i="2"/>
  <c r="E34" i="2"/>
  <c r="Q33" i="2"/>
  <c r="O33" i="2"/>
  <c r="I33" i="2"/>
  <c r="G33" i="2"/>
  <c r="E33" i="2"/>
  <c r="Q32" i="2"/>
  <c r="O32" i="2"/>
  <c r="I32" i="2"/>
  <c r="G32" i="2"/>
  <c r="E32" i="2"/>
  <c r="O31" i="2"/>
  <c r="Q31" i="2" s="1"/>
  <c r="I31" i="2"/>
  <c r="G31" i="2"/>
  <c r="E31" i="2"/>
  <c r="O30" i="2"/>
  <c r="Q30" i="2" s="1"/>
  <c r="I30" i="2"/>
  <c r="G30" i="2"/>
  <c r="E30" i="2"/>
  <c r="Q29" i="2"/>
  <c r="O29" i="2"/>
  <c r="I29" i="2"/>
  <c r="G29" i="2"/>
  <c r="E29" i="2"/>
  <c r="Q28" i="2"/>
  <c r="O28" i="2"/>
  <c r="I28" i="2"/>
  <c r="G28" i="2"/>
  <c r="E28" i="2"/>
  <c r="O27" i="2"/>
  <c r="Q27" i="2" s="1"/>
  <c r="I27" i="2"/>
  <c r="G27" i="2"/>
  <c r="E27" i="2"/>
  <c r="E26" i="2"/>
  <c r="M25" i="2"/>
  <c r="K25" i="2"/>
  <c r="I25" i="2"/>
  <c r="G25" i="2"/>
  <c r="E25" i="2"/>
  <c r="O24" i="2"/>
  <c r="E24" i="2"/>
  <c r="E23" i="2"/>
  <c r="E22" i="2"/>
  <c r="K21" i="2"/>
  <c r="K58" i="2" s="1"/>
  <c r="E21" i="2"/>
  <c r="M20" i="2"/>
  <c r="O20" i="2" s="1"/>
  <c r="Q20" i="2" s="1"/>
  <c r="I20" i="2"/>
  <c r="G20" i="2"/>
  <c r="E20" i="2"/>
  <c r="M19" i="2"/>
  <c r="O19" i="2" s="1"/>
  <c r="Q19" i="2" s="1"/>
  <c r="I19" i="2"/>
  <c r="G19" i="2"/>
  <c r="E19" i="2"/>
  <c r="M18" i="2"/>
  <c r="I18" i="2"/>
  <c r="G18" i="2"/>
  <c r="E18" i="2"/>
  <c r="Q17" i="2"/>
  <c r="O17" i="2"/>
  <c r="M17" i="2"/>
  <c r="I17" i="2"/>
  <c r="G17" i="2"/>
  <c r="E17" i="2"/>
  <c r="Q16" i="2"/>
  <c r="O16" i="2"/>
  <c r="I16" i="2"/>
  <c r="G16" i="2"/>
  <c r="E16" i="2"/>
  <c r="M15" i="2"/>
  <c r="O15" i="2" s="1"/>
  <c r="Q15" i="2" s="1"/>
  <c r="I15" i="2"/>
  <c r="G15" i="2"/>
  <c r="E15" i="2"/>
  <c r="G70" i="2" s="1"/>
  <c r="O14" i="2"/>
  <c r="I14" i="2"/>
  <c r="G14" i="2"/>
  <c r="E14" i="2"/>
  <c r="G75" i="2" s="1"/>
  <c r="O13" i="2"/>
  <c r="Q13" i="2" s="1"/>
  <c r="I13" i="2"/>
  <c r="G13" i="2"/>
  <c r="E13" i="2"/>
  <c r="Q12" i="2"/>
  <c r="M12" i="2"/>
  <c r="O12" i="2" s="1"/>
  <c r="I12" i="2"/>
  <c r="G12" i="2"/>
  <c r="E12" i="2"/>
  <c r="G82" i="2" s="1"/>
  <c r="A2" i="2"/>
  <c r="K65" i="1"/>
  <c r="M64" i="1"/>
  <c r="K64" i="1"/>
  <c r="O62" i="1"/>
  <c r="Q62" i="1" s="1"/>
  <c r="I62" i="1"/>
  <c r="G62" i="1"/>
  <c r="E62" i="1"/>
  <c r="O61" i="1"/>
  <c r="Q61" i="1" s="1"/>
  <c r="I61" i="1"/>
  <c r="G61" i="1"/>
  <c r="E61" i="1"/>
  <c r="O60" i="1"/>
  <c r="Q60" i="1" s="1"/>
  <c r="I60" i="1"/>
  <c r="G60" i="1"/>
  <c r="E60" i="1"/>
  <c r="O59" i="1"/>
  <c r="Q59" i="1" s="1"/>
  <c r="I59" i="1"/>
  <c r="G59" i="1"/>
  <c r="E59" i="1"/>
  <c r="O58" i="1"/>
  <c r="Q58" i="1" s="1"/>
  <c r="I58" i="1"/>
  <c r="G58" i="1"/>
  <c r="E58" i="1"/>
  <c r="Q57" i="1"/>
  <c r="O57" i="1"/>
  <c r="I57" i="1"/>
  <c r="G57" i="1"/>
  <c r="E57" i="1"/>
  <c r="Q56" i="1"/>
  <c r="O56" i="1"/>
  <c r="I56" i="1"/>
  <c r="G56" i="1"/>
  <c r="E56" i="1"/>
  <c r="O55" i="1"/>
  <c r="Q55" i="1" s="1"/>
  <c r="I55" i="1"/>
  <c r="G55" i="1"/>
  <c r="E55" i="1"/>
  <c r="O54" i="1"/>
  <c r="Q54" i="1" s="1"/>
  <c r="I54" i="1"/>
  <c r="G54" i="1"/>
  <c r="E54" i="1"/>
  <c r="Q53" i="1"/>
  <c r="O53" i="1"/>
  <c r="I53" i="1"/>
  <c r="G53" i="1"/>
  <c r="E53" i="1"/>
  <c r="Q52" i="1"/>
  <c r="O52" i="1"/>
  <c r="I52" i="1"/>
  <c r="G52" i="1"/>
  <c r="E52" i="1"/>
  <c r="O51" i="1"/>
  <c r="Q51" i="1" s="1"/>
  <c r="I51" i="1"/>
  <c r="G51" i="1"/>
  <c r="E51" i="1"/>
  <c r="O50" i="1"/>
  <c r="Q50" i="1" s="1"/>
  <c r="I50" i="1"/>
  <c r="G50" i="1"/>
  <c r="E50" i="1"/>
  <c r="Q49" i="1"/>
  <c r="O49" i="1"/>
  <c r="I49" i="1"/>
  <c r="G49" i="1"/>
  <c r="E49" i="1"/>
  <c r="O48" i="1"/>
  <c r="Q48" i="1" s="1"/>
  <c r="I48" i="1"/>
  <c r="G48" i="1"/>
  <c r="E48" i="1"/>
  <c r="Q47" i="1"/>
  <c r="O47" i="1"/>
  <c r="I47" i="1"/>
  <c r="G47" i="1"/>
  <c r="E47" i="1"/>
  <c r="Q46" i="1"/>
  <c r="O46" i="1"/>
  <c r="I46" i="1"/>
  <c r="G46" i="1"/>
  <c r="E46" i="1"/>
  <c r="Q45" i="1"/>
  <c r="O45" i="1"/>
  <c r="I45" i="1"/>
  <c r="G45" i="1"/>
  <c r="E45" i="1"/>
  <c r="O44" i="1"/>
  <c r="Q44" i="1" s="1"/>
  <c r="I44" i="1"/>
  <c r="G44" i="1"/>
  <c r="E44" i="1"/>
  <c r="O43" i="1"/>
  <c r="Q43" i="1" s="1"/>
  <c r="I43" i="1"/>
  <c r="G43" i="1"/>
  <c r="E43" i="1"/>
  <c r="Q42" i="1"/>
  <c r="O42" i="1"/>
  <c r="I42" i="1"/>
  <c r="G42" i="1"/>
  <c r="E42" i="1"/>
  <c r="Q41" i="1"/>
  <c r="O41" i="1"/>
  <c r="I41" i="1"/>
  <c r="G41" i="1"/>
  <c r="E41" i="1"/>
  <c r="E40" i="1"/>
  <c r="I39" i="1"/>
  <c r="G39" i="1"/>
  <c r="E39" i="1"/>
  <c r="E38" i="1"/>
  <c r="K37" i="1"/>
  <c r="M37" i="1" s="1"/>
  <c r="O37" i="1" s="1"/>
  <c r="Q37" i="1" s="1"/>
  <c r="E37" i="1"/>
  <c r="O36" i="1"/>
  <c r="Q36" i="1" s="1"/>
  <c r="M36" i="1"/>
  <c r="K36" i="1"/>
  <c r="E36" i="1"/>
  <c r="K35" i="1"/>
  <c r="M35" i="1" s="1"/>
  <c r="O35" i="1" s="1"/>
  <c r="Q35" i="1" s="1"/>
  <c r="E35" i="1"/>
  <c r="M34" i="1"/>
  <c r="O34" i="1" s="1"/>
  <c r="Q34" i="1" s="1"/>
  <c r="K34" i="1"/>
  <c r="E34" i="1"/>
  <c r="Q33" i="1"/>
  <c r="O33" i="1"/>
  <c r="K33" i="1"/>
  <c r="M33" i="1" s="1"/>
  <c r="E33" i="1"/>
  <c r="O32" i="1"/>
  <c r="Q32" i="1" s="1"/>
  <c r="M32" i="1"/>
  <c r="K32" i="1"/>
  <c r="E32" i="1"/>
  <c r="K31" i="1"/>
  <c r="M31" i="1" s="1"/>
  <c r="O31" i="1" s="1"/>
  <c r="Q31" i="1" s="1"/>
  <c r="E31" i="1"/>
  <c r="K30" i="1"/>
  <c r="M30" i="1" s="1"/>
  <c r="O30" i="1" s="1"/>
  <c r="Q30" i="1" s="1"/>
  <c r="E30" i="1"/>
  <c r="K29" i="1"/>
  <c r="M29" i="1" s="1"/>
  <c r="O29" i="1" s="1"/>
  <c r="Q29" i="1" s="1"/>
  <c r="E29" i="1"/>
  <c r="O28" i="1"/>
  <c r="Q28" i="1" s="1"/>
  <c r="M28" i="1"/>
  <c r="K28" i="1"/>
  <c r="E28" i="1"/>
  <c r="K27" i="1"/>
  <c r="E27" i="1"/>
  <c r="E26" i="1"/>
  <c r="E25" i="1"/>
  <c r="K24" i="1"/>
  <c r="E24" i="1"/>
  <c r="O23" i="1"/>
  <c r="Q23" i="1" s="1"/>
  <c r="M23" i="1"/>
  <c r="I23" i="1"/>
  <c r="G23" i="1"/>
  <c r="E23" i="1"/>
  <c r="O22" i="1"/>
  <c r="Q22" i="1" s="1"/>
  <c r="M22" i="1"/>
  <c r="I22" i="1"/>
  <c r="G22" i="1"/>
  <c r="E22" i="1"/>
  <c r="Q21" i="1"/>
  <c r="O21" i="1"/>
  <c r="M21" i="1"/>
  <c r="I21" i="1"/>
  <c r="G21" i="1"/>
  <c r="E21" i="1"/>
  <c r="O20" i="1"/>
  <c r="Q20" i="1" s="1"/>
  <c r="M20" i="1"/>
  <c r="I20" i="1"/>
  <c r="G20" i="1"/>
  <c r="E20" i="1"/>
  <c r="Q19" i="1"/>
  <c r="O19" i="1"/>
  <c r="I19" i="1"/>
  <c r="G19" i="1"/>
  <c r="E19" i="1"/>
  <c r="Q18" i="1"/>
  <c r="M18" i="1"/>
  <c r="O18" i="1" s="1"/>
  <c r="I18" i="1"/>
  <c r="G18" i="1"/>
  <c r="E18" i="1"/>
  <c r="M17" i="1"/>
  <c r="O17" i="1" s="1"/>
  <c r="Q17" i="1" s="1"/>
  <c r="I17" i="1"/>
  <c r="G17" i="1"/>
  <c r="E17" i="1"/>
  <c r="O16" i="1"/>
  <c r="Q16" i="1" s="1"/>
  <c r="M16" i="1"/>
  <c r="I16" i="1"/>
  <c r="G16" i="1"/>
  <c r="E16" i="1"/>
  <c r="O15" i="1"/>
  <c r="Q15" i="1" s="1"/>
  <c r="Q24" i="1" s="1"/>
  <c r="I15" i="1"/>
  <c r="G15" i="1"/>
  <c r="E15" i="1"/>
  <c r="Q14" i="1"/>
  <c r="O14" i="1"/>
  <c r="I14" i="1"/>
  <c r="G14" i="1"/>
  <c r="E14" i="1"/>
  <c r="Q13" i="1"/>
  <c r="O13" i="1"/>
  <c r="I13" i="1"/>
  <c r="G13" i="1"/>
  <c r="E13" i="1"/>
  <c r="Q12" i="1"/>
  <c r="O12" i="1"/>
  <c r="M12" i="1"/>
  <c r="I12" i="1"/>
  <c r="G12" i="1"/>
  <c r="E12" i="1"/>
  <c r="K9" i="1"/>
  <c r="I9" i="1"/>
  <c r="G9" i="1"/>
  <c r="G9" i="6" s="1"/>
  <c r="M8" i="1"/>
  <c r="A2" i="1"/>
  <c r="G23" i="11" l="1"/>
  <c r="I23" i="11"/>
  <c r="I72" i="11"/>
  <c r="I25" i="10"/>
  <c r="I25" i="8"/>
  <c r="I67" i="7"/>
  <c r="G36" i="6"/>
  <c r="G37" i="6" s="1"/>
  <c r="G41" i="6" s="1"/>
  <c r="I62" i="4"/>
  <c r="G21" i="4"/>
  <c r="I44" i="3"/>
  <c r="G19" i="3"/>
  <c r="G21" i="2"/>
  <c r="I57" i="2"/>
  <c r="I24" i="1"/>
  <c r="O18" i="2"/>
  <c r="Q18" i="2" s="1"/>
  <c r="M21" i="2"/>
  <c r="M58" i="2" s="1"/>
  <c r="Q35" i="2"/>
  <c r="O57" i="2"/>
  <c r="Q14" i="2"/>
  <c r="Q19" i="3"/>
  <c r="O24" i="1"/>
  <c r="G57" i="2"/>
  <c r="G58" i="2" s="1"/>
  <c r="G62" i="2" s="1"/>
  <c r="G66" i="3"/>
  <c r="G102" i="4"/>
  <c r="G101" i="4"/>
  <c r="G99" i="4"/>
  <c r="G98" i="4"/>
  <c r="G97" i="4"/>
  <c r="G85" i="4"/>
  <c r="G84" i="4"/>
  <c r="G79" i="4"/>
  <c r="G78" i="4"/>
  <c r="G166" i="12"/>
  <c r="G165" i="12"/>
  <c r="G164" i="12"/>
  <c r="G108" i="1"/>
  <c r="G107" i="1"/>
  <c r="G106" i="1"/>
  <c r="Q57" i="2"/>
  <c r="G203" i="5"/>
  <c r="G104" i="1"/>
  <c r="Q62" i="4"/>
  <c r="G163" i="12"/>
  <c r="G105" i="1"/>
  <c r="G60" i="6"/>
  <c r="G111" i="8"/>
  <c r="G108" i="10"/>
  <c r="Q44" i="3"/>
  <c r="I108" i="10"/>
  <c r="I109" i="10" s="1"/>
  <c r="I113" i="10" s="1"/>
  <c r="K9" i="7"/>
  <c r="K9" i="6"/>
  <c r="K9" i="8"/>
  <c r="K9" i="10" s="1"/>
  <c r="K9" i="5"/>
  <c r="K9" i="3"/>
  <c r="K9" i="4"/>
  <c r="K9" i="2"/>
  <c r="G79" i="3"/>
  <c r="G44" i="3"/>
  <c r="G45" i="3" s="1"/>
  <c r="G49" i="3" s="1"/>
  <c r="G183" i="12"/>
  <c r="I21" i="2"/>
  <c r="I58" i="2" s="1"/>
  <c r="I62" i="2" s="1"/>
  <c r="G92" i="1"/>
  <c r="G146" i="8"/>
  <c r="G145" i="8"/>
  <c r="G144" i="8"/>
  <c r="Q64" i="1"/>
  <c r="Q65" i="1" s="1"/>
  <c r="M26" i="9"/>
  <c r="G179" i="5"/>
  <c r="O25" i="4"/>
  <c r="Q24" i="4"/>
  <c r="Q25" i="4" s="1"/>
  <c r="G205" i="5"/>
  <c r="G62" i="6"/>
  <c r="G67" i="6"/>
  <c r="G58" i="6"/>
  <c r="Q21" i="2"/>
  <c r="Q34" i="5"/>
  <c r="Q43" i="5" s="1"/>
  <c r="O43" i="5"/>
  <c r="I9" i="6"/>
  <c r="I9" i="8"/>
  <c r="I9" i="10" s="1"/>
  <c r="I9" i="5"/>
  <c r="I9" i="3"/>
  <c r="I9" i="7"/>
  <c r="I9" i="4"/>
  <c r="I9" i="2"/>
  <c r="G61" i="6"/>
  <c r="G123" i="11"/>
  <c r="G103" i="11"/>
  <c r="G83" i="11"/>
  <c r="G122" i="11"/>
  <c r="G102" i="11"/>
  <c r="G82" i="11"/>
  <c r="G121" i="11"/>
  <c r="G101" i="11"/>
  <c r="G81" i="11"/>
  <c r="G120" i="11"/>
  <c r="G100" i="11"/>
  <c r="G80" i="11"/>
  <c r="G119" i="11"/>
  <c r="G99" i="11"/>
  <c r="G118" i="11"/>
  <c r="G98" i="11"/>
  <c r="G117" i="11"/>
  <c r="G97" i="11"/>
  <c r="G116" i="11"/>
  <c r="G96" i="11"/>
  <c r="G115" i="11"/>
  <c r="G95" i="11"/>
  <c r="G111" i="11"/>
  <c r="G91" i="11"/>
  <c r="G130" i="11"/>
  <c r="G110" i="11"/>
  <c r="G90" i="11"/>
  <c r="G113" i="11"/>
  <c r="G112" i="11"/>
  <c r="G109" i="11"/>
  <c r="G108" i="11"/>
  <c r="G107" i="11"/>
  <c r="G106" i="11"/>
  <c r="G105" i="11"/>
  <c r="G104" i="11"/>
  <c r="G94" i="11"/>
  <c r="G93" i="11"/>
  <c r="G88" i="11"/>
  <c r="G128" i="11"/>
  <c r="G86" i="11"/>
  <c r="G129" i="11"/>
  <c r="G87" i="11"/>
  <c r="G114" i="11"/>
  <c r="G92" i="11"/>
  <c r="G89" i="11"/>
  <c r="G85" i="11"/>
  <c r="G84" i="11"/>
  <c r="G127" i="11"/>
  <c r="G126" i="11"/>
  <c r="G125" i="11"/>
  <c r="O25" i="2"/>
  <c r="Q24" i="2"/>
  <c r="Q25" i="2" s="1"/>
  <c r="G62" i="4"/>
  <c r="G63" i="4" s="1"/>
  <c r="G67" i="4" s="1"/>
  <c r="G94" i="1"/>
  <c r="I64" i="1"/>
  <c r="I65" i="1" s="1"/>
  <c r="I69" i="1" s="1"/>
  <c r="G95" i="2"/>
  <c r="G181" i="5"/>
  <c r="G66" i="6"/>
  <c r="G104" i="7"/>
  <c r="G102" i="7"/>
  <c r="G97" i="7"/>
  <c r="G122" i="7"/>
  <c r="G124" i="7"/>
  <c r="G93" i="7"/>
  <c r="G92" i="7"/>
  <c r="G113" i="7"/>
  <c r="G86" i="7"/>
  <c r="G107" i="7"/>
  <c r="G144" i="10"/>
  <c r="G24" i="1"/>
  <c r="G96" i="2"/>
  <c r="I36" i="6"/>
  <c r="G108" i="7"/>
  <c r="O108" i="10"/>
  <c r="G154" i="10"/>
  <c r="M127" i="5"/>
  <c r="G189" i="5"/>
  <c r="I37" i="6"/>
  <c r="I41" i="6" s="1"/>
  <c r="O36" i="6"/>
  <c r="O37" i="6" s="1"/>
  <c r="Q17" i="6"/>
  <c r="Q36" i="6" s="1"/>
  <c r="G109" i="7"/>
  <c r="Q53" i="10"/>
  <c r="Q108" i="10" s="1"/>
  <c r="G155" i="10"/>
  <c r="O64" i="1"/>
  <c r="G102" i="2"/>
  <c r="G43" i="5"/>
  <c r="G190" i="5"/>
  <c r="G110" i="7"/>
  <c r="G159" i="10"/>
  <c r="G167" i="12"/>
  <c r="G64" i="1"/>
  <c r="G65" i="1" s="1"/>
  <c r="G69" i="1" s="1"/>
  <c r="G62" i="3"/>
  <c r="G126" i="5"/>
  <c r="G127" i="5" s="1"/>
  <c r="G130" i="5" s="1"/>
  <c r="G202" i="5"/>
  <c r="Q12" i="6"/>
  <c r="Q15" i="6" s="1"/>
  <c r="G59" i="6"/>
  <c r="G112" i="7"/>
  <c r="E8" i="9"/>
  <c r="O8" i="9" s="1"/>
  <c r="G173" i="12"/>
  <c r="G182" i="5"/>
  <c r="M65" i="1"/>
  <c r="G101" i="2"/>
  <c r="G245" i="5"/>
  <c r="M24" i="1"/>
  <c r="I126" i="5"/>
  <c r="G23" i="7"/>
  <c r="G116" i="7"/>
  <c r="G80" i="8"/>
  <c r="G86" i="8" s="1"/>
  <c r="G191" i="5"/>
  <c r="G222" i="5"/>
  <c r="G198" i="5"/>
  <c r="G173" i="5"/>
  <c r="G149" i="5"/>
  <c r="G221" i="5"/>
  <c r="G197" i="5"/>
  <c r="G172" i="5"/>
  <c r="G147" i="5"/>
  <c r="G215" i="5"/>
  <c r="G165" i="5"/>
  <c r="G240" i="5"/>
  <c r="G141" i="5"/>
  <c r="G234" i="5"/>
  <c r="G210" i="5"/>
  <c r="G183" i="5"/>
  <c r="G159" i="5"/>
  <c r="G135" i="5"/>
  <c r="G207" i="5"/>
  <c r="G130" i="8"/>
  <c r="G25" i="10"/>
  <c r="G140" i="5"/>
  <c r="O67" i="7"/>
  <c r="O68" i="7" s="1"/>
  <c r="G83" i="1"/>
  <c r="G71" i="2"/>
  <c r="G78" i="3"/>
  <c r="G56" i="3"/>
  <c r="G77" i="3"/>
  <c r="G55" i="3"/>
  <c r="G76" i="3"/>
  <c r="G54" i="3"/>
  <c r="G75" i="3"/>
  <c r="G74" i="3"/>
  <c r="G73" i="3"/>
  <c r="G68" i="3"/>
  <c r="G72" i="3"/>
  <c r="G71" i="3"/>
  <c r="G70" i="3"/>
  <c r="G65" i="3"/>
  <c r="G63" i="3"/>
  <c r="G64" i="3"/>
  <c r="G153" i="5"/>
  <c r="G214" i="5"/>
  <c r="G51" i="6"/>
  <c r="G50" i="6"/>
  <c r="G49" i="6"/>
  <c r="G48" i="6"/>
  <c r="G63" i="6"/>
  <c r="G64" i="6"/>
  <c r="Q32" i="7"/>
  <c r="Q67" i="7" s="1"/>
  <c r="Q68" i="7" s="1"/>
  <c r="M12" i="10"/>
  <c r="M25" i="10" s="1"/>
  <c r="M109" i="10" s="1"/>
  <c r="O23" i="11"/>
  <c r="O73" i="11" s="1"/>
  <c r="T11" i="13"/>
  <c r="T14" i="13" s="1"/>
  <c r="K13" i="13" s="1"/>
  <c r="K14" i="13" s="1"/>
  <c r="K20" i="13" s="1"/>
  <c r="G173" i="10"/>
  <c r="G153" i="10"/>
  <c r="G133" i="10"/>
  <c r="G172" i="10"/>
  <c r="G152" i="10"/>
  <c r="G132" i="10"/>
  <c r="G171" i="10"/>
  <c r="G151" i="10"/>
  <c r="G131" i="10"/>
  <c r="G170" i="10"/>
  <c r="G150" i="10"/>
  <c r="G130" i="10"/>
  <c r="G169" i="10"/>
  <c r="G149" i="10"/>
  <c r="G129" i="10"/>
  <c r="G168" i="10"/>
  <c r="G148" i="10"/>
  <c r="G128" i="10"/>
  <c r="G167" i="10"/>
  <c r="G147" i="10"/>
  <c r="G127" i="10"/>
  <c r="G166" i="10"/>
  <c r="G146" i="10"/>
  <c r="G126" i="10"/>
  <c r="G165" i="10"/>
  <c r="G145" i="10"/>
  <c r="G125" i="10"/>
  <c r="G161" i="10"/>
  <c r="G141" i="10"/>
  <c r="G121" i="10"/>
  <c r="G140" i="10"/>
  <c r="G139" i="10"/>
  <c r="G138" i="10"/>
  <c r="G137" i="10"/>
  <c r="G176" i="10"/>
  <c r="G136" i="10"/>
  <c r="G175" i="10"/>
  <c r="G135" i="10"/>
  <c r="G174" i="10"/>
  <c r="G134" i="10"/>
  <c r="G164" i="10"/>
  <c r="G124" i="10"/>
  <c r="G163" i="10"/>
  <c r="G123" i="10"/>
  <c r="G162" i="10"/>
  <c r="G122" i="10"/>
  <c r="G158" i="10"/>
  <c r="G118" i="10"/>
  <c r="G156" i="10"/>
  <c r="G157" i="10"/>
  <c r="G117" i="10"/>
  <c r="K39" i="1"/>
  <c r="G84" i="1"/>
  <c r="G72" i="2"/>
  <c r="G154" i="5"/>
  <c r="G229" i="5"/>
  <c r="M68" i="7"/>
  <c r="I80" i="8"/>
  <c r="I86" i="8" s="1"/>
  <c r="G109" i="8"/>
  <c r="O12" i="10"/>
  <c r="Q27" i="12"/>
  <c r="Q122" i="12" s="1"/>
  <c r="E20" i="13"/>
  <c r="E24" i="13" s="1"/>
  <c r="G213" i="5"/>
  <c r="M27" i="1"/>
  <c r="G85" i="1"/>
  <c r="G73" i="2"/>
  <c r="I19" i="3"/>
  <c r="I45" i="3" s="1"/>
  <c r="I49" i="3" s="1"/>
  <c r="G104" i="4"/>
  <c r="G155" i="5"/>
  <c r="G230" i="5"/>
  <c r="O25" i="8"/>
  <c r="Q36" i="8"/>
  <c r="G110" i="8"/>
  <c r="G153" i="12"/>
  <c r="G152" i="12"/>
  <c r="G193" i="12"/>
  <c r="G151" i="12"/>
  <c r="G192" i="12"/>
  <c r="G148" i="12"/>
  <c r="G191" i="12"/>
  <c r="G147" i="12"/>
  <c r="G188" i="12"/>
  <c r="G146" i="12"/>
  <c r="G133" i="12"/>
  <c r="G187" i="12"/>
  <c r="G145" i="12"/>
  <c r="G184" i="12"/>
  <c r="G186" i="12"/>
  <c r="G144" i="12"/>
  <c r="G185" i="12"/>
  <c r="G143" i="12"/>
  <c r="G172" i="12"/>
  <c r="G171" i="12"/>
  <c r="G168" i="12"/>
  <c r="O19" i="3"/>
  <c r="O45" i="3" s="1"/>
  <c r="G86" i="1"/>
  <c r="G74" i="2"/>
  <c r="G157" i="5"/>
  <c r="G231" i="5"/>
  <c r="Q12" i="8"/>
  <c r="Q25" i="8" s="1"/>
  <c r="G27" i="12"/>
  <c r="G139" i="5"/>
  <c r="G87" i="1"/>
  <c r="G158" i="5"/>
  <c r="G232" i="5"/>
  <c r="Q23" i="7"/>
  <c r="G77" i="7"/>
  <c r="G132" i="8"/>
  <c r="G104" i="8"/>
  <c r="G131" i="8"/>
  <c r="G103" i="8"/>
  <c r="G125" i="8"/>
  <c r="G147" i="8"/>
  <c r="G119" i="8"/>
  <c r="G112" i="8"/>
  <c r="O36" i="11"/>
  <c r="Q26" i="11"/>
  <c r="Q36" i="11" s="1"/>
  <c r="I63" i="4"/>
  <c r="I67" i="4" s="1"/>
  <c r="G209" i="5"/>
  <c r="G88" i="1"/>
  <c r="G97" i="2"/>
  <c r="G78" i="2"/>
  <c r="O12" i="4"/>
  <c r="M21" i="4"/>
  <c r="M63" i="4" s="1"/>
  <c r="O126" i="5"/>
  <c r="G162" i="5"/>
  <c r="G233" i="5"/>
  <c r="G96" i="7"/>
  <c r="G82" i="7"/>
  <c r="G25" i="8"/>
  <c r="G81" i="8" s="1"/>
  <c r="G89" i="8" s="1"/>
  <c r="G114" i="8"/>
  <c r="I26" i="9"/>
  <c r="G91" i="1"/>
  <c r="G79" i="2"/>
  <c r="Q68" i="5"/>
  <c r="Q126" i="5" s="1"/>
  <c r="Q127" i="5" s="1"/>
  <c r="G163" i="5"/>
  <c r="G238" i="5"/>
  <c r="G84" i="7"/>
  <c r="Q32" i="8"/>
  <c r="G123" i="8"/>
  <c r="G119" i="10"/>
  <c r="G72" i="11"/>
  <c r="G73" i="11" s="1"/>
  <c r="G76" i="11" s="1"/>
  <c r="G92" i="2"/>
  <c r="Q64" i="5"/>
  <c r="G178" i="5"/>
  <c r="G239" i="5"/>
  <c r="G85" i="7"/>
  <c r="G124" i="8"/>
  <c r="G120" i="10"/>
  <c r="G131" i="12"/>
  <c r="M8" i="5"/>
  <c r="M8" i="4"/>
  <c r="G89" i="1"/>
  <c r="M8" i="2"/>
  <c r="G76" i="2"/>
  <c r="G98" i="2"/>
  <c r="G82" i="4"/>
  <c r="O60" i="5"/>
  <c r="O64" i="5" s="1"/>
  <c r="G137" i="5"/>
  <c r="G160" i="5"/>
  <c r="G185" i="5"/>
  <c r="G211" i="5"/>
  <c r="G235" i="5"/>
  <c r="G87" i="7"/>
  <c r="G114" i="7"/>
  <c r="G121" i="8"/>
  <c r="G149" i="8"/>
  <c r="P26" i="9"/>
  <c r="O27" i="12"/>
  <c r="O122" i="12" s="1"/>
  <c r="G92" i="4"/>
  <c r="G72" i="4"/>
  <c r="G100" i="4"/>
  <c r="G80" i="4"/>
  <c r="G81" i="4"/>
  <c r="G103" i="4"/>
  <c r="O21" i="9"/>
  <c r="O26" i="9" s="1"/>
  <c r="G14" i="13"/>
  <c r="G20" i="13" s="1"/>
  <c r="G90" i="1"/>
  <c r="G9" i="2"/>
  <c r="G77" i="2"/>
  <c r="G99" i="2"/>
  <c r="O44" i="3"/>
  <c r="O62" i="4"/>
  <c r="G83" i="4"/>
  <c r="G105" i="4"/>
  <c r="Q46" i="5"/>
  <c r="Q60" i="5" s="1"/>
  <c r="G138" i="5"/>
  <c r="G161" i="5"/>
  <c r="G187" i="5"/>
  <c r="G212" i="5"/>
  <c r="G237" i="5"/>
  <c r="G88" i="7"/>
  <c r="G115" i="7"/>
  <c r="G122" i="8"/>
  <c r="M51" i="10"/>
  <c r="G93" i="1"/>
  <c r="G81" i="2"/>
  <c r="Q23" i="11"/>
  <c r="Q73" i="11" s="1"/>
  <c r="I121" i="12"/>
  <c r="G73" i="1"/>
  <c r="M8" i="3"/>
  <c r="G87" i="4"/>
  <c r="G109" i="4"/>
  <c r="G142" i="5"/>
  <c r="G167" i="5"/>
  <c r="G192" i="5"/>
  <c r="G217" i="5"/>
  <c r="G241" i="5"/>
  <c r="G9" i="7"/>
  <c r="O32" i="8"/>
  <c r="O36" i="8" s="1"/>
  <c r="G94" i="8"/>
  <c r="G126" i="8"/>
  <c r="G182" i="12"/>
  <c r="O121" i="12"/>
  <c r="G98" i="1"/>
  <c r="G78" i="1"/>
  <c r="G100" i="2"/>
  <c r="G80" i="2"/>
  <c r="G88" i="2"/>
  <c r="G68" i="2"/>
  <c r="G86" i="4"/>
  <c r="G74" i="1"/>
  <c r="G95" i="1"/>
  <c r="G83" i="2"/>
  <c r="G9" i="3"/>
  <c r="G88" i="4"/>
  <c r="G110" i="4"/>
  <c r="G143" i="5"/>
  <c r="G169" i="5"/>
  <c r="G193" i="5"/>
  <c r="G218" i="5"/>
  <c r="G242" i="5"/>
  <c r="M23" i="7"/>
  <c r="G94" i="7"/>
  <c r="O80" i="8"/>
  <c r="G99" i="8"/>
  <c r="G127" i="8"/>
  <c r="Q52" i="12"/>
  <c r="Q121" i="12" s="1"/>
  <c r="G75" i="1"/>
  <c r="G96" i="1"/>
  <c r="G84" i="2"/>
  <c r="G89" i="4"/>
  <c r="G144" i="5"/>
  <c r="G170" i="5"/>
  <c r="G194" i="5"/>
  <c r="G219" i="5"/>
  <c r="G243" i="5"/>
  <c r="G123" i="7"/>
  <c r="O23" i="7"/>
  <c r="G95" i="7"/>
  <c r="M8" i="8"/>
  <c r="M8" i="10" s="1"/>
  <c r="Q80" i="8"/>
  <c r="G101" i="8"/>
  <c r="G129" i="8"/>
  <c r="I27" i="12"/>
  <c r="I122" i="12" s="1"/>
  <c r="I125" i="12" s="1"/>
  <c r="G108" i="4"/>
  <c r="G67" i="7"/>
  <c r="G68" i="7" s="1"/>
  <c r="G71" i="7" s="1"/>
  <c r="G76" i="1"/>
  <c r="G97" i="1"/>
  <c r="G85" i="2"/>
  <c r="G90" i="4"/>
  <c r="G145" i="5"/>
  <c r="G171" i="5"/>
  <c r="G195" i="5"/>
  <c r="G220" i="5"/>
  <c r="G9" i="8"/>
  <c r="G9" i="10" s="1"/>
  <c r="G102" i="8"/>
  <c r="G181" i="12"/>
  <c r="O46" i="12"/>
  <c r="O50" i="12" s="1"/>
  <c r="Q31" i="12"/>
  <c r="Q46" i="12" s="1"/>
  <c r="Q50" i="12" s="1"/>
  <c r="G121" i="12"/>
  <c r="G77" i="1"/>
  <c r="G99" i="1"/>
  <c r="G86" i="2"/>
  <c r="G61" i="3"/>
  <c r="G91" i="4"/>
  <c r="I23" i="7"/>
  <c r="I68" i="7" s="1"/>
  <c r="I71" i="7" s="1"/>
  <c r="G79" i="1"/>
  <c r="G100" i="1"/>
  <c r="G87" i="2"/>
  <c r="G93" i="4"/>
  <c r="G80" i="1"/>
  <c r="G101" i="1"/>
  <c r="G66" i="2"/>
  <c r="G89" i="2"/>
  <c r="M19" i="3"/>
  <c r="M45" i="3" s="1"/>
  <c r="G71" i="4"/>
  <c r="G94" i="4"/>
  <c r="G228" i="5"/>
  <c r="G208" i="5"/>
  <c r="G188" i="5"/>
  <c r="G168" i="5"/>
  <c r="G148" i="5"/>
  <c r="G226" i="5"/>
  <c r="G206" i="5"/>
  <c r="G186" i="5"/>
  <c r="G166" i="5"/>
  <c r="G146" i="5"/>
  <c r="G244" i="5"/>
  <c r="G224" i="5"/>
  <c r="G204" i="5"/>
  <c r="G184" i="5"/>
  <c r="G164" i="5"/>
  <c r="G236" i="5"/>
  <c r="G216" i="5"/>
  <c r="G196" i="5"/>
  <c r="G176" i="5"/>
  <c r="G156" i="5"/>
  <c r="G136" i="5"/>
  <c r="G150" i="5"/>
  <c r="G174" i="5"/>
  <c r="G199" i="5"/>
  <c r="G223" i="5"/>
  <c r="G140" i="8"/>
  <c r="G120" i="8"/>
  <c r="G100" i="8"/>
  <c r="G138" i="8"/>
  <c r="G118" i="8"/>
  <c r="G98" i="8"/>
  <c r="G137" i="8"/>
  <c r="G117" i="8"/>
  <c r="G97" i="8"/>
  <c r="G136" i="8"/>
  <c r="G116" i="8"/>
  <c r="G96" i="8"/>
  <c r="G135" i="8"/>
  <c r="G115" i="8"/>
  <c r="G95" i="8"/>
  <c r="G133" i="8"/>
  <c r="G113" i="8"/>
  <c r="G93" i="8"/>
  <c r="G148" i="8"/>
  <c r="G128" i="8"/>
  <c r="G108" i="8"/>
  <c r="G105" i="8"/>
  <c r="G134" i="8"/>
  <c r="O47" i="10"/>
  <c r="O51" i="10" s="1"/>
  <c r="G81" i="1"/>
  <c r="G102" i="1"/>
  <c r="G67" i="2"/>
  <c r="G90" i="2"/>
  <c r="G73" i="4"/>
  <c r="G95" i="4"/>
  <c r="G151" i="5"/>
  <c r="G175" i="5"/>
  <c r="G200" i="5"/>
  <c r="G225" i="5"/>
  <c r="G120" i="7"/>
  <c r="G100" i="7"/>
  <c r="G80" i="7"/>
  <c r="G105" i="7"/>
  <c r="I36" i="8"/>
  <c r="G106" i="8"/>
  <c r="G139" i="8"/>
  <c r="Q28" i="10"/>
  <c r="Q47" i="10" s="1"/>
  <c r="Q51" i="10" s="1"/>
  <c r="Q38" i="11"/>
  <c r="Q72" i="11" s="1"/>
  <c r="O13" i="12"/>
  <c r="Q13" i="12" s="1"/>
  <c r="G82" i="1"/>
  <c r="G103" i="1"/>
  <c r="G69" i="2"/>
  <c r="G91" i="2"/>
  <c r="G74" i="4"/>
  <c r="G96" i="4"/>
  <c r="I43" i="5"/>
  <c r="G152" i="5"/>
  <c r="G177" i="5"/>
  <c r="G201" i="5"/>
  <c r="G227" i="5"/>
  <c r="G57" i="6"/>
  <c r="G55" i="6"/>
  <c r="G54" i="6"/>
  <c r="G53" i="6"/>
  <c r="G52" i="6"/>
  <c r="G65" i="6"/>
  <c r="G45" i="6"/>
  <c r="G56" i="6"/>
  <c r="Q28" i="7"/>
  <c r="G106" i="7"/>
  <c r="G107" i="8"/>
  <c r="G141" i="8"/>
  <c r="G149" i="12"/>
  <c r="G169" i="12"/>
  <c r="G189" i="12"/>
  <c r="G69" i="3"/>
  <c r="G91" i="7"/>
  <c r="G111" i="7"/>
  <c r="G130" i="12"/>
  <c r="G150" i="12"/>
  <c r="G170" i="12"/>
  <c r="G190" i="12"/>
  <c r="G134" i="12"/>
  <c r="G154" i="12"/>
  <c r="G174" i="12"/>
  <c r="G194" i="12"/>
  <c r="G135" i="12"/>
  <c r="G155" i="12"/>
  <c r="G175" i="12"/>
  <c r="G195" i="12"/>
  <c r="G136" i="12"/>
  <c r="G156" i="12"/>
  <c r="G176" i="12"/>
  <c r="G196" i="12"/>
  <c r="G78" i="7"/>
  <c r="G98" i="7"/>
  <c r="G118" i="7"/>
  <c r="G137" i="12"/>
  <c r="G157" i="12"/>
  <c r="G177" i="12"/>
  <c r="G197" i="12"/>
  <c r="G79" i="7"/>
  <c r="G99" i="7"/>
  <c r="G119" i="7"/>
  <c r="G138" i="12"/>
  <c r="G158" i="12"/>
  <c r="G178" i="12"/>
  <c r="G198" i="12"/>
  <c r="G139" i="12"/>
  <c r="G159" i="12"/>
  <c r="G179" i="12"/>
  <c r="G81" i="7"/>
  <c r="G101" i="7"/>
  <c r="G121" i="7"/>
  <c r="G140" i="12"/>
  <c r="G160" i="12"/>
  <c r="G180" i="12"/>
  <c r="G141" i="12"/>
  <c r="G161" i="12"/>
  <c r="G83" i="7"/>
  <c r="G103" i="7"/>
  <c r="G142" i="12"/>
  <c r="G162" i="12"/>
  <c r="I73" i="11" l="1"/>
  <c r="I76" i="11" s="1"/>
  <c r="M9" i="13"/>
  <c r="M8" i="9"/>
  <c r="G9" i="13"/>
  <c r="P9" i="13" s="1"/>
  <c r="G8" i="9"/>
  <c r="P8" i="9" s="1"/>
  <c r="M8" i="11"/>
  <c r="M8" i="12"/>
  <c r="Q37" i="6"/>
  <c r="O81" i="8"/>
  <c r="I9" i="13"/>
  <c r="I8" i="9"/>
  <c r="Q45" i="3"/>
  <c r="G109" i="10"/>
  <c r="G113" i="10" s="1"/>
  <c r="Q58" i="2"/>
  <c r="I9" i="11"/>
  <c r="I9" i="12"/>
  <c r="O127" i="5"/>
  <c r="K9" i="12"/>
  <c r="K9" i="11"/>
  <c r="O27" i="1"/>
  <c r="M39" i="1"/>
  <c r="O21" i="4"/>
  <c r="O63" i="4" s="1"/>
  <c r="Q12" i="4"/>
  <c r="Q21" i="4" s="1"/>
  <c r="Q63" i="4" s="1"/>
  <c r="E27" i="13"/>
  <c r="G22" i="13"/>
  <c r="G24" i="13" s="1"/>
  <c r="I127" i="5"/>
  <c r="I130" i="5" s="1"/>
  <c r="G122" i="12"/>
  <c r="G125" i="12" s="1"/>
  <c r="O65" i="1"/>
  <c r="I81" i="8"/>
  <c r="I89" i="8" s="1"/>
  <c r="O21" i="2"/>
  <c r="O58" i="2" s="1"/>
  <c r="G9" i="11"/>
  <c r="G9" i="12"/>
  <c r="Q81" i="8"/>
  <c r="O25" i="10"/>
  <c r="O109" i="10" s="1"/>
  <c r="Q12" i="10"/>
  <c r="Q25" i="10" s="1"/>
  <c r="Q109" i="10" s="1"/>
  <c r="G27" i="13" l="1"/>
  <c r="I22" i="13"/>
  <c r="Q27" i="1"/>
  <c r="Q39" i="1" s="1"/>
  <c r="O39" i="1"/>
  <c r="K22" i="13" l="1"/>
  <c r="K24" i="13" s="1"/>
  <c r="M22" i="13" s="1"/>
  <c r="M24" i="13" s="1"/>
  <c r="I24" i="13"/>
  <c r="I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tc={C5F05A42-32AD-4AD3-AEC9-FA06CF23FF89}</author>
    <author>tc={FD40AE8C-D747-41DF-95D5-F784EF80D45A}</author>
  </authors>
  <commentList>
    <comment ref="G59" authorId="0" shapeId="0" xr:uid="{C5F05A42-32AD-4AD3-AEC9-FA06CF23FF89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  <comment ref="I59" authorId="1" shapeId="0" xr:uid="{FD40AE8C-D747-41DF-95D5-F784EF80D45A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tc={8704C044-D106-49BE-AF07-AB77B9BDA4E0}</author>
  </authors>
  <commentList>
    <comment ref="I55" authorId="0" shapeId="0" xr:uid="{8704C044-D106-49BE-AF07-AB77B9BDA4E0}">
      <text>
        <t>[Threaded comment]
Your version of Excel allows you to read this threaded comment; however, any edits to it will get removed if the file is opened in a newer version of Excel. Learn more: https://go.microsoft.com/fwlink/?linkid=870924
Comment:
    -2 rounding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tc={F20EBBF1-99F2-45F1-B4FB-29A23B5B4462}</author>
    <author>tc={351D0E75-59D3-49CC-8544-F46A6D712EFC}</author>
  </authors>
  <commentList>
    <comment ref="G58" authorId="0" shapeId="0" xr:uid="{F20EBBF1-99F2-45F1-B4FB-29A23B5B4462}">
      <text>
        <t>[Threaded comment]
Your version of Excel allows you to read this threaded comment; however, any edits to it will get removed if the file is opened in a newer version of Excel. Learn more: https://go.microsoft.com/fwlink/?linkid=870924
Comment:
    +1 rounding</t>
      </text>
    </comment>
    <comment ref="I58" authorId="1" shapeId="0" xr:uid="{351D0E75-59D3-49CC-8544-F46A6D712EFC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Elliott</author>
    <author>tc={46095FF6-B31F-49BB-9C4A-F844637AE26E}</author>
  </authors>
  <commentList>
    <comment ref="A37" authorId="0" shapeId="0" xr:uid="{FA8C3F39-A378-4FF3-BC90-6DE7E6D6CEA4}">
      <text>
        <r>
          <rPr>
            <b/>
            <sz val="9"/>
            <color indexed="81"/>
            <rFont val="Tahoma"/>
            <family val="2"/>
          </rPr>
          <t>Chad Elliott:</t>
        </r>
        <r>
          <rPr>
            <sz val="9"/>
            <color indexed="81"/>
            <rFont val="Tahoma"/>
            <family val="2"/>
          </rPr>
          <t xml:space="preserve">
Do not budget for this account. One time use</t>
        </r>
      </text>
    </comment>
    <comment ref="A38" authorId="0" shapeId="0" xr:uid="{11D6B96B-99E2-4792-B0B1-CF491D852F4D}">
      <text>
        <r>
          <rPr>
            <b/>
            <sz val="9"/>
            <color indexed="81"/>
            <rFont val="Tahoma"/>
            <family val="2"/>
          </rPr>
          <t>Chad Elliott:</t>
        </r>
        <r>
          <rPr>
            <sz val="9"/>
            <color indexed="81"/>
            <rFont val="Tahoma"/>
            <family val="2"/>
          </rPr>
          <t xml:space="preserve">
Do not budget for this account. One time use</t>
        </r>
      </text>
    </comment>
    <comment ref="I120" authorId="1" shapeId="0" xr:uid="{46095FF6-B31F-49BB-9C4A-F844637A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+2 rounding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tc={AA564A58-3FFE-4FD7-85ED-0F4F43896C9D}</author>
  </authors>
  <commentList>
    <comment ref="G34" authorId="0" shapeId="0" xr:uid="{AA564A58-3FFE-4FD7-85ED-0F4F43896C9D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tc={523EB55F-691C-48F4-A455-C8F332CE2FF5}</author>
    <author>tc={E2526576-0771-430F-BCBD-ADAF12CDF813}</author>
  </authors>
  <commentList>
    <comment ref="G59" authorId="0" shapeId="0" xr:uid="{523EB55F-691C-48F4-A455-C8F332CE2FF5}">
      <text>
        <t>[Threaded comment]
Your version of Excel allows you to read this threaded comment; however, any edits to it will get removed if the file is opened in a newer version of Excel. Learn more: https://go.microsoft.com/fwlink/?linkid=870924
Comment:
    +1 rounding</t>
      </text>
    </comment>
    <comment ref="I59" authorId="1" shapeId="0" xr:uid="{E2526576-0771-430F-BCBD-ADAF12CDF813}">
      <text>
        <t>[Threaded comment]
Your version of Excel allows you to read this threaded comment; however, any edits to it will get removed if the file is opened in a newer version of Excel. Learn more: https://go.microsoft.com/fwlink/?linkid=870924
Comment:
    +2 rounding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tc={5348AD46-D9F3-46FB-9410-CA6C19515284}</author>
  </authors>
  <commentList>
    <comment ref="G102" authorId="0" shapeId="0" xr:uid="{5348AD46-D9F3-46FB-9410-CA6C19515284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tc={5521D366-3E51-4676-8DF4-0B6809CA1E97}</author>
    <author>tc={988F2D28-5BF7-4ED9-B593-DBB2FE9C52C4}</author>
  </authors>
  <commentList>
    <comment ref="G67" authorId="0" shapeId="0" xr:uid="{5521D366-3E51-4676-8DF4-0B6809CA1E97}">
      <text>
        <t>[Threaded comment]
Your version of Excel allows you to read this threaded comment; however, any edits to it will get removed if the file is opened in a newer version of Excel. Learn more: https://go.microsoft.com/fwlink/?linkid=870924
Comment:
    +1 rounding</t>
      </text>
    </comment>
    <comment ref="I67" authorId="1" shapeId="0" xr:uid="{988F2D28-5BF7-4ED9-B593-DBB2FE9C52C4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tc={BB6F7C6F-1393-4F0C-A9CB-64994459216E}</author>
    <author>tc={2F44DAF7-B17C-4ADA-BF7F-3C140257E16C}</author>
  </authors>
  <commentList>
    <comment ref="G117" authorId="0" shapeId="0" xr:uid="{BB6F7C6F-1393-4F0C-A9CB-64994459216E}">
      <text>
        <t>[Threaded comment]
Your version of Excel allows you to read this threaded comment; however, any edits to it will get removed if the file is opened in a newer version of Excel. Learn more: https://go.microsoft.com/fwlink/?linkid=870924
Comment:
    -3 rounding</t>
      </text>
    </comment>
    <comment ref="I117" authorId="1" shapeId="0" xr:uid="{2F44DAF7-B17C-4ADA-BF7F-3C140257E16C}">
      <text>
        <t>[Threaded comment]
Your version of Excel allows you to read this threaded comment; however, any edits to it will get removed if the file is opened in a newer version of Excel. Learn more: https://go.microsoft.com/fwlink/?linkid=870924
Comment:
    -1 rounding</t>
      </text>
    </comment>
  </commentList>
</comments>
</file>

<file path=xl/sharedStrings.xml><?xml version="1.0" encoding="utf-8"?>
<sst xmlns="http://schemas.openxmlformats.org/spreadsheetml/2006/main" count="2739" uniqueCount="1026">
  <si>
    <t>City of Altamonte Springs, Florida</t>
  </si>
  <si>
    <t>Leisure and Maintenance Services Department</t>
  </si>
  <si>
    <t>Administration Division</t>
  </si>
  <si>
    <r>
      <t xml:space="preserve">General Fund </t>
    </r>
    <r>
      <rPr>
        <b/>
        <sz val="9"/>
        <rFont val="Calibri"/>
        <family val="2"/>
        <scheme val="minor"/>
      </rPr>
      <t>(00109110</t>
    </r>
    <r>
      <rPr>
        <b/>
        <sz val="12"/>
        <rFont val="Calibri"/>
        <family val="2"/>
        <scheme val="minor"/>
      </rPr>
      <t>)</t>
    </r>
  </si>
  <si>
    <t xml:space="preserve"> </t>
  </si>
  <si>
    <t>Department</t>
  </si>
  <si>
    <t>Manager</t>
  </si>
  <si>
    <t>Commission</t>
  </si>
  <si>
    <t>Org</t>
  </si>
  <si>
    <t>Obj</t>
  </si>
  <si>
    <t>Proj</t>
  </si>
  <si>
    <t>Actual</t>
  </si>
  <si>
    <t>Budget</t>
  </si>
  <si>
    <t>Requested</t>
  </si>
  <si>
    <t>Recommended</t>
  </si>
  <si>
    <t>Adopted</t>
  </si>
  <si>
    <t>PERSONNEL SERVICES</t>
  </si>
  <si>
    <r>
      <t xml:space="preserve">Regular Salaries &amp; Wages
</t>
    </r>
    <r>
      <rPr>
        <sz val="9"/>
        <rFont val="Calibri"/>
        <family val="2"/>
        <scheme val="minor"/>
      </rPr>
      <t xml:space="preserve">    Base: 9 Positions</t>
    </r>
  </si>
  <si>
    <t>00109110</t>
  </si>
  <si>
    <t>$</t>
  </si>
  <si>
    <t>Limited Term - Intern</t>
  </si>
  <si>
    <t>Overtime</t>
  </si>
  <si>
    <t>On-Call</t>
  </si>
  <si>
    <t>Add Pays</t>
  </si>
  <si>
    <t>Auto Allowance</t>
  </si>
  <si>
    <t>Cell Phone Allowance</t>
  </si>
  <si>
    <t>Uniform Allowance</t>
  </si>
  <si>
    <t>FICA Taxes</t>
  </si>
  <si>
    <t>Retirement Contributions</t>
  </si>
  <si>
    <t>Health Insurance</t>
  </si>
  <si>
    <t>Life Insurance</t>
  </si>
  <si>
    <t>Total Personnel Services</t>
  </si>
  <si>
    <t>POSITION ROSTER</t>
  </si>
  <si>
    <t xml:space="preserve">Full-Time Employees </t>
  </si>
  <si>
    <t>Director of Leisure Services</t>
  </si>
  <si>
    <t>1D</t>
  </si>
  <si>
    <t>Recreation Division Director</t>
  </si>
  <si>
    <t>2A</t>
  </si>
  <si>
    <t>Parks &amp; Grounds Div. Director</t>
  </si>
  <si>
    <t>Fleet &amp; Facilities Division Director</t>
  </si>
  <si>
    <t>Administrative Manager</t>
  </si>
  <si>
    <t>3C</t>
  </si>
  <si>
    <t>Fiscal Manager</t>
  </si>
  <si>
    <t>3B</t>
  </si>
  <si>
    <t>Office Administrator</t>
  </si>
  <si>
    <t>Staff Assistant</t>
  </si>
  <si>
    <t>4C</t>
  </si>
  <si>
    <t>Deputy Director</t>
  </si>
  <si>
    <t>2B</t>
  </si>
  <si>
    <t>Recreation Support Administrator</t>
  </si>
  <si>
    <t>PLMO Specialist</t>
  </si>
  <si>
    <t xml:space="preserve">   Total Positions</t>
  </si>
  <si>
    <t>OPERATING EXPENDITURES</t>
  </si>
  <si>
    <t>Other Services-Software Subscriptions</t>
  </si>
  <si>
    <t>All Parks-Playgrd Inspec. Software</t>
  </si>
  <si>
    <t>Thorguard Software License</t>
  </si>
  <si>
    <t>AI Software Subscription</t>
  </si>
  <si>
    <t>Fingerprint Software</t>
  </si>
  <si>
    <t>Background Checks</t>
  </si>
  <si>
    <t>Educational Incentive</t>
  </si>
  <si>
    <t>Conferences/Seminars/Meetings</t>
  </si>
  <si>
    <t>Non-Travel Training</t>
  </si>
  <si>
    <t>Travel Training</t>
  </si>
  <si>
    <t>Cell Phone, Air Cards, Pagers</t>
  </si>
  <si>
    <t>Communications-Radios</t>
  </si>
  <si>
    <t>Rentals &amp; Leases-Other</t>
  </si>
  <si>
    <t>Rental/Lease-Facilities</t>
  </si>
  <si>
    <t>Printing &amp; Binding</t>
  </si>
  <si>
    <t>Office Supplies</t>
  </si>
  <si>
    <t>Operating Supplies</t>
  </si>
  <si>
    <t>Safety/First Aid Supplies</t>
  </si>
  <si>
    <t>Books/Pubs/Subscrs/Membs</t>
  </si>
  <si>
    <t>Purchased Uniforms</t>
  </si>
  <si>
    <t>Office Furn/Fixtures &lt; $5,000</t>
  </si>
  <si>
    <t>Technology Items &lt; $5,000</t>
  </si>
  <si>
    <t>Total Operating Expenditures</t>
  </si>
  <si>
    <t>TOTAL BUDGET</t>
  </si>
  <si>
    <t>Per GL</t>
  </si>
  <si>
    <t>Diff</t>
  </si>
  <si>
    <t xml:space="preserve">2025 Actual </t>
  </si>
  <si>
    <t xml:space="preserve">2024 Actual </t>
  </si>
  <si>
    <t>Missing Accounts Check?</t>
  </si>
  <si>
    <t>00109110501201</t>
  </si>
  <si>
    <t>00109110501315</t>
  </si>
  <si>
    <t>00109110501400</t>
  </si>
  <si>
    <t>00109110501401</t>
  </si>
  <si>
    <t>00109110501600</t>
  </si>
  <si>
    <t>00109110501701</t>
  </si>
  <si>
    <t>00109110501702</t>
  </si>
  <si>
    <t>00109110501800</t>
  </si>
  <si>
    <t>00109110502100</t>
  </si>
  <si>
    <t>00109110502100CIALS</t>
  </si>
  <si>
    <t>00109110502200</t>
  </si>
  <si>
    <t>00109110502300</t>
  </si>
  <si>
    <t>00109110502400</t>
  </si>
  <si>
    <t>00109110503403</t>
  </si>
  <si>
    <t>00109110503470</t>
  </si>
  <si>
    <t>00109110503901</t>
  </si>
  <si>
    <t>00109110504030</t>
  </si>
  <si>
    <t>00109110504060</t>
  </si>
  <si>
    <t>00109110504070</t>
  </si>
  <si>
    <t>00109110504120</t>
  </si>
  <si>
    <t>00109110504124</t>
  </si>
  <si>
    <t>00109110504401</t>
  </si>
  <si>
    <t>00109110504450</t>
  </si>
  <si>
    <t>00109110504710</t>
  </si>
  <si>
    <t>00109110504854</t>
  </si>
  <si>
    <t>00109110505101</t>
  </si>
  <si>
    <t>00109110505201</t>
  </si>
  <si>
    <t>00109110505260</t>
  </si>
  <si>
    <t>00109110505401</t>
  </si>
  <si>
    <t>00109110505550</t>
  </si>
  <si>
    <t>00109110505710</t>
  </si>
  <si>
    <t>00109110505730</t>
  </si>
  <si>
    <t>00109110505801</t>
  </si>
  <si>
    <t>00109110564150</t>
  </si>
  <si>
    <t>00109110564300</t>
  </si>
  <si>
    <t>00109110999999</t>
  </si>
  <si>
    <t>Eastmonte Park</t>
  </si>
  <si>
    <r>
      <t>General Fund (</t>
    </r>
    <r>
      <rPr>
        <b/>
        <sz val="9"/>
        <rFont val="Calibri"/>
        <family val="2"/>
        <scheme val="minor"/>
      </rPr>
      <t>00109120</t>
    </r>
    <r>
      <rPr>
        <b/>
        <sz val="12"/>
        <rFont val="Calibri"/>
        <family val="2"/>
        <scheme val="minor"/>
      </rPr>
      <t>)</t>
    </r>
  </si>
  <si>
    <t>Regular Salaries &amp; Wages</t>
  </si>
  <si>
    <t>00109120</t>
  </si>
  <si>
    <t>Limited Term Employee Wages</t>
  </si>
  <si>
    <t>Full-Time Employees</t>
  </si>
  <si>
    <t>Other Services-Bank Fees</t>
  </si>
  <si>
    <t>Other Services-Temporary Labor</t>
  </si>
  <si>
    <t>Other Contractural Services</t>
  </si>
  <si>
    <t>Rental/Lease-Equipment</t>
  </si>
  <si>
    <t>Repair/Maint-Bldgs/ Facilities</t>
  </si>
  <si>
    <t>Replace Signage</t>
  </si>
  <si>
    <t>Repair/Maint-Fencing/Security</t>
  </si>
  <si>
    <t>Repair/Maint-Civic Center</t>
  </si>
  <si>
    <t>Repair/Maint-Ballfield</t>
  </si>
  <si>
    <t>Synthetic Turf Maintenance Program</t>
  </si>
  <si>
    <t>Synthetic Turf Crumb Rubber</t>
  </si>
  <si>
    <t>Repair/Maint-Equipment</t>
  </si>
  <si>
    <t>Playground</t>
  </si>
  <si>
    <t>Groundcover</t>
  </si>
  <si>
    <t>ThorGuard</t>
  </si>
  <si>
    <t>Repair/Maint-Hardscape</t>
  </si>
  <si>
    <t>Repair/Maint-Technology</t>
  </si>
  <si>
    <t>Audio/Visual</t>
  </si>
  <si>
    <t>Repair/Maint-Other</t>
  </si>
  <si>
    <t>Rental Uniforms</t>
  </si>
  <si>
    <t>Boots/Shoes</t>
  </si>
  <si>
    <t>Safety Uniforms</t>
  </si>
  <si>
    <t>Propane/Diesel</t>
  </si>
  <si>
    <t>Park Equipment &lt; $5,000</t>
  </si>
  <si>
    <t>Auditorium Tables/Chairs</t>
  </si>
  <si>
    <t>00109120501201</t>
  </si>
  <si>
    <t>00109120501305</t>
  </si>
  <si>
    <t>00109120501400</t>
  </si>
  <si>
    <t>00109120501600</t>
  </si>
  <si>
    <t>00109120501800</t>
  </si>
  <si>
    <t>00109120502100</t>
  </si>
  <si>
    <t>00109120502200</t>
  </si>
  <si>
    <t>00109120502300</t>
  </si>
  <si>
    <t>00109120502400</t>
  </si>
  <si>
    <t>00109120503415</t>
  </si>
  <si>
    <t>00109120503450</t>
  </si>
  <si>
    <t>00109120503499</t>
  </si>
  <si>
    <t>00109120504430</t>
  </si>
  <si>
    <t>00109120504601</t>
  </si>
  <si>
    <t>00109120504602</t>
  </si>
  <si>
    <t>00109120504605</t>
  </si>
  <si>
    <t>00109120504610</t>
  </si>
  <si>
    <t>00109120504620</t>
  </si>
  <si>
    <t>00109120504675</t>
  </si>
  <si>
    <t>00109120504683</t>
  </si>
  <si>
    <t>00109120504699</t>
  </si>
  <si>
    <t>00109120504710</t>
  </si>
  <si>
    <t>00109120504810</t>
  </si>
  <si>
    <t>00109120504854</t>
  </si>
  <si>
    <t>00109120505201</t>
  </si>
  <si>
    <t>00109120505505</t>
  </si>
  <si>
    <t>00109120505532</t>
  </si>
  <si>
    <t>00109120505540</t>
  </si>
  <si>
    <t>00109120505550</t>
  </si>
  <si>
    <t>00109120505602</t>
  </si>
  <si>
    <t>00109120505710</t>
  </si>
  <si>
    <t>00109120505750</t>
  </si>
  <si>
    <t>00109120505801</t>
  </si>
  <si>
    <t>00109120563320</t>
  </si>
  <si>
    <t>00109120563345</t>
  </si>
  <si>
    <t>00109120564450</t>
  </si>
  <si>
    <t>00109120999999</t>
  </si>
  <si>
    <t>Merrill Park</t>
  </si>
  <si>
    <r>
      <t>General Fund (</t>
    </r>
    <r>
      <rPr>
        <b/>
        <sz val="9"/>
        <rFont val="Calibri"/>
        <family val="2"/>
        <scheme val="minor"/>
      </rPr>
      <t>00109130</t>
    </r>
    <r>
      <rPr>
        <b/>
        <sz val="12"/>
        <rFont val="Calibri"/>
        <family val="2"/>
        <scheme val="minor"/>
      </rPr>
      <t>)</t>
    </r>
  </si>
  <si>
    <t>PERSONAL SERVICES</t>
  </si>
  <si>
    <t>00109130</t>
  </si>
  <si>
    <t>Total Personal Services</t>
  </si>
  <si>
    <t>Full Time Employees</t>
  </si>
  <si>
    <t>Professional Services-Architectural</t>
  </si>
  <si>
    <t>Other Contractual Services</t>
  </si>
  <si>
    <t>Printing and Binding</t>
  </si>
  <si>
    <t>00109130501201</t>
  </si>
  <si>
    <t>00109130501400</t>
  </si>
  <si>
    <t>00109130501800</t>
  </si>
  <si>
    <t>00109130502100</t>
  </si>
  <si>
    <t>00109130502200</t>
  </si>
  <si>
    <t>00109130502300</t>
  </si>
  <si>
    <t>00109130502400</t>
  </si>
  <si>
    <t>00109130503140</t>
  </si>
  <si>
    <t>00109130503499</t>
  </si>
  <si>
    <t>00109130504601</t>
  </si>
  <si>
    <t>00109130504602</t>
  </si>
  <si>
    <t>00109130504620</t>
  </si>
  <si>
    <t>00109130504675</t>
  </si>
  <si>
    <t>00109130504683</t>
  </si>
  <si>
    <t>00109130504699</t>
  </si>
  <si>
    <t>00109130504710</t>
  </si>
  <si>
    <t>00109130504854</t>
  </si>
  <si>
    <t>00109130505201</t>
  </si>
  <si>
    <t>00109130505505</t>
  </si>
  <si>
    <t>00109130505532</t>
  </si>
  <si>
    <t>00109130505540</t>
  </si>
  <si>
    <t>00109130505550</t>
  </si>
  <si>
    <t>00109130505750</t>
  </si>
  <si>
    <t>00109130505801</t>
  </si>
  <si>
    <t>00109130564400</t>
  </si>
  <si>
    <t>00109130564450</t>
  </si>
  <si>
    <t>00109130999999</t>
  </si>
  <si>
    <t>Westmonte Park</t>
  </si>
  <si>
    <r>
      <t>General Fund (</t>
    </r>
    <r>
      <rPr>
        <b/>
        <sz val="9"/>
        <rFont val="Calibri"/>
        <family val="2"/>
        <scheme val="minor"/>
      </rPr>
      <t>00109140</t>
    </r>
    <r>
      <rPr>
        <b/>
        <sz val="12"/>
        <rFont val="Calibri"/>
        <family val="2"/>
        <scheme val="minor"/>
      </rPr>
      <t>)</t>
    </r>
  </si>
  <si>
    <t>00109140</t>
  </si>
  <si>
    <t>Limited Term-Recreation</t>
  </si>
  <si>
    <t>Other Services-Trash Disposal</t>
  </si>
  <si>
    <t>Rental/Lease-Network Connect</t>
  </si>
  <si>
    <t>Spectrum</t>
  </si>
  <si>
    <t>Repair/Maint-Bldgs/Facilities</t>
  </si>
  <si>
    <t>Thorguard</t>
  </si>
  <si>
    <t>Repair/Maint-Service Contracts</t>
  </si>
  <si>
    <t>Pool Maintenance Services</t>
  </si>
  <si>
    <t>Promo Activity-Community Programs</t>
  </si>
  <si>
    <t>Christmas Trees</t>
  </si>
  <si>
    <t>Promo Activity-Marketing</t>
  </si>
  <si>
    <t>Chemicals</t>
  </si>
  <si>
    <t>Pool Chemicals</t>
  </si>
  <si>
    <t>Program Supplies</t>
  </si>
  <si>
    <t>Propane\Diesel</t>
  </si>
  <si>
    <t>Multipurpose Room Chairs</t>
  </si>
  <si>
    <t>00109140501201</t>
  </si>
  <si>
    <t>00109140501305</t>
  </si>
  <si>
    <t>00109140501400</t>
  </si>
  <si>
    <t>00109140501600</t>
  </si>
  <si>
    <t>00109140501800</t>
  </si>
  <si>
    <t>00109140502100</t>
  </si>
  <si>
    <t>00109140502200</t>
  </si>
  <si>
    <t>00109140502300</t>
  </si>
  <si>
    <t>00109140502400</t>
  </si>
  <si>
    <t>00109140503450</t>
  </si>
  <si>
    <t>00109140503460</t>
  </si>
  <si>
    <t>00109140504430</t>
  </si>
  <si>
    <t>00109140504440</t>
  </si>
  <si>
    <t>00109140504601</t>
  </si>
  <si>
    <t>00109140504602</t>
  </si>
  <si>
    <t>00109140504605</t>
  </si>
  <si>
    <t>00109140504610</t>
  </si>
  <si>
    <t>00109140504620</t>
  </si>
  <si>
    <t>00109140504675</t>
  </si>
  <si>
    <t>00109140504680</t>
  </si>
  <si>
    <t>00109140504683</t>
  </si>
  <si>
    <t>00109140504699</t>
  </si>
  <si>
    <t>00109140504710</t>
  </si>
  <si>
    <t>00109140504810</t>
  </si>
  <si>
    <t>00109140504854</t>
  </si>
  <si>
    <t>00109140504870</t>
  </si>
  <si>
    <t>00109140505201</t>
  </si>
  <si>
    <t>00109140505220</t>
  </si>
  <si>
    <t>00109140505250</t>
  </si>
  <si>
    <t>00109140505260</t>
  </si>
  <si>
    <t>00109140505505</t>
  </si>
  <si>
    <t>00109140505532</t>
  </si>
  <si>
    <t>00109140505540</t>
  </si>
  <si>
    <t>00109140505550</t>
  </si>
  <si>
    <t>00109140505602</t>
  </si>
  <si>
    <t>00109140505710</t>
  </si>
  <si>
    <t>00109140505750</t>
  </si>
  <si>
    <t>00109140505801</t>
  </si>
  <si>
    <t>00109140564450</t>
  </si>
  <si>
    <t>00109140999999</t>
  </si>
  <si>
    <t>Altamonte Recreation</t>
  </si>
  <si>
    <r>
      <t>General Fund (</t>
    </r>
    <r>
      <rPr>
        <b/>
        <sz val="9"/>
        <rFont val="Calibri"/>
        <family val="2"/>
        <scheme val="minor"/>
      </rPr>
      <t>00109160</t>
    </r>
    <r>
      <rPr>
        <b/>
        <sz val="12"/>
        <rFont val="Calibri"/>
        <family val="2"/>
        <scheme val="minor"/>
      </rPr>
      <t>)</t>
    </r>
  </si>
  <si>
    <r>
      <t xml:space="preserve">Regular Salaries &amp; Wages
</t>
    </r>
    <r>
      <rPr>
        <sz val="9"/>
        <rFont val="Calibri"/>
        <family val="2"/>
        <scheme val="minor"/>
      </rPr>
      <t xml:space="preserve">    Base: 16 Positions</t>
    </r>
  </si>
  <si>
    <t>00109160</t>
  </si>
  <si>
    <t>Sign Incentive Award</t>
  </si>
  <si>
    <t>Limited Term - Recreation</t>
  </si>
  <si>
    <t>Baseball Instructors</t>
  </si>
  <si>
    <t>ABAIN</t>
  </si>
  <si>
    <t>Softball Instructors</t>
  </si>
  <si>
    <t>AFAIN</t>
  </si>
  <si>
    <t>Teen Leaders</t>
  </si>
  <si>
    <t>TEENL</t>
  </si>
  <si>
    <t>Teen Aides</t>
  </si>
  <si>
    <t>TEENA</t>
  </si>
  <si>
    <t>Bus Driver</t>
  </si>
  <si>
    <t>BUSDR</t>
  </si>
  <si>
    <t>Playground Leaders</t>
  </si>
  <si>
    <t>PLAYL</t>
  </si>
  <si>
    <t>Playground Aides</t>
  </si>
  <si>
    <t>PLAYA</t>
  </si>
  <si>
    <t>Exercise Instructors</t>
  </si>
  <si>
    <t>EXERC</t>
  </si>
  <si>
    <t>Recreation Workers</t>
  </si>
  <si>
    <t>RECW</t>
  </si>
  <si>
    <t>Basketball Instructor</t>
  </si>
  <si>
    <t>ABLIN</t>
  </si>
  <si>
    <t>Park Rangers</t>
  </si>
  <si>
    <t>Limited Term-Lifeguards</t>
  </si>
  <si>
    <t>LIFEG</t>
  </si>
  <si>
    <t>Limited Term-Adapted Aquatics</t>
  </si>
  <si>
    <t>Limited Term-ABA/AFA Coach</t>
  </si>
  <si>
    <t>TRVLB</t>
  </si>
  <si>
    <t>Limited Term-Babe Ruth Coach</t>
  </si>
  <si>
    <t>BRUTH</t>
  </si>
  <si>
    <t>Overtime-Playground Aides</t>
  </si>
  <si>
    <t>ARPA Reimbursement Quarantine</t>
  </si>
  <si>
    <t>6.01N</t>
  </si>
  <si>
    <t>ARPA Reimbursement Vaccine</t>
  </si>
  <si>
    <t>6.01O</t>
  </si>
  <si>
    <t xml:space="preserve">   $</t>
  </si>
  <si>
    <t>Recreation Manager</t>
  </si>
  <si>
    <t>Program Specialist</t>
  </si>
  <si>
    <t>ABA Coordinator</t>
  </si>
  <si>
    <t>3A</t>
  </si>
  <si>
    <t>Aquatics Supervisor</t>
  </si>
  <si>
    <t>Recreation Supervisor</t>
  </si>
  <si>
    <t>Recreation Leader</t>
  </si>
  <si>
    <t>Aquatics Coordinator</t>
  </si>
  <si>
    <t>Operations Division Manager</t>
  </si>
  <si>
    <t>Recreation Division Manager</t>
  </si>
  <si>
    <t>Park Ranger Supervisor</t>
  </si>
  <si>
    <t>Total Positions</t>
  </si>
  <si>
    <t>Part-Time Employees</t>
  </si>
  <si>
    <t>Total Part-Time Employees</t>
  </si>
  <si>
    <t>Computer System Training</t>
  </si>
  <si>
    <t>Other Services-Software Subscription</t>
  </si>
  <si>
    <t>Civic Rec Processing</t>
  </si>
  <si>
    <t>Other Services-Youth Programs</t>
  </si>
  <si>
    <t>Certifications</t>
  </si>
  <si>
    <t>Babe Ruth Travel Coaches</t>
  </si>
  <si>
    <t>ABA Travel Coaches</t>
  </si>
  <si>
    <t>LR030</t>
  </si>
  <si>
    <t>AFA Travel Coaches</t>
  </si>
  <si>
    <t>LR035</t>
  </si>
  <si>
    <t>Freight and Postage Services</t>
  </si>
  <si>
    <t>Rental/Lease-Off-Site Storage</t>
  </si>
  <si>
    <t>Baseball Opening Day</t>
  </si>
  <si>
    <t>Email Marketing</t>
  </si>
  <si>
    <t>Other Charges-Program Awards</t>
  </si>
  <si>
    <t>Cost of Goods Sold-Fanshop</t>
  </si>
  <si>
    <r>
      <t>OPERATING EXPENDITURES</t>
    </r>
    <r>
      <rPr>
        <b/>
        <i/>
        <sz val="9"/>
        <rFont val="Calibri"/>
        <family val="2"/>
        <scheme val="minor"/>
      </rPr>
      <t xml:space="preserve"> (continued)</t>
    </r>
  </si>
  <si>
    <t>ABA Travel Program</t>
  </si>
  <si>
    <t>AFA Travel Program</t>
  </si>
  <si>
    <t>Program Costs</t>
  </si>
  <si>
    <t>World Series Hosting Fee</t>
  </si>
  <si>
    <t>Youth Programs</t>
  </si>
  <si>
    <t>LR005</t>
  </si>
  <si>
    <t>Adult Programs</t>
  </si>
  <si>
    <t>LR010</t>
  </si>
  <si>
    <t>Aquatics Programs</t>
  </si>
  <si>
    <t>LR015</t>
  </si>
  <si>
    <t>Senior Programs</t>
  </si>
  <si>
    <t>LR020</t>
  </si>
  <si>
    <t>Special Needs Programs</t>
  </si>
  <si>
    <t>LR025</t>
  </si>
  <si>
    <t>CPR Training Supplies</t>
  </si>
  <si>
    <t>Books, Pubs, Sub, Mem</t>
  </si>
  <si>
    <t>Warehouse Issued Uniforms</t>
  </si>
  <si>
    <t>Small Tools/Equip &lt; $5,000</t>
  </si>
  <si>
    <t>Office Furn/Fixtures &lt; $5000</t>
  </si>
  <si>
    <t>Baseball Equipment</t>
  </si>
  <si>
    <t>(3) Computer Monitors</t>
  </si>
  <si>
    <t>Work Station, Laptop, Docking Station</t>
  </si>
  <si>
    <t>(2) Laptops</t>
  </si>
  <si>
    <t>(2) Docking Stations</t>
  </si>
  <si>
    <t>00109160501201</t>
  </si>
  <si>
    <t>00109160501290</t>
  </si>
  <si>
    <t>00109160501305</t>
  </si>
  <si>
    <t>00109160501305ABAIN</t>
  </si>
  <si>
    <t>00109160501305ABLIN</t>
  </si>
  <si>
    <t>00109160501305AFAIN</t>
  </si>
  <si>
    <t>00109160501305BUSDR</t>
  </si>
  <si>
    <t>00109160501305EXERC</t>
  </si>
  <si>
    <t>00109160501305PLAYA</t>
  </si>
  <si>
    <t>00109160501305PLAYL</t>
  </si>
  <si>
    <t>00109160501305RECW</t>
  </si>
  <si>
    <t>00109160501305TEENA</t>
  </si>
  <si>
    <t>00109160501305TEENL</t>
  </si>
  <si>
    <t>00109160501312</t>
  </si>
  <si>
    <t>00109160501312LIFEG</t>
  </si>
  <si>
    <t>00109160501313</t>
  </si>
  <si>
    <t>00109160501314</t>
  </si>
  <si>
    <t>00109160501314BRUTH</t>
  </si>
  <si>
    <t>00109160501314TRVLB</t>
  </si>
  <si>
    <t>00109160501400</t>
  </si>
  <si>
    <t>00109160501400PLAYA</t>
  </si>
  <si>
    <t>00109160501400PLAYL</t>
  </si>
  <si>
    <t>00109160501401</t>
  </si>
  <si>
    <t>00109160501600</t>
  </si>
  <si>
    <t>00109160501701</t>
  </si>
  <si>
    <t>00109160501702</t>
  </si>
  <si>
    <t>00109160501800</t>
  </si>
  <si>
    <t>001091605019006.01N</t>
  </si>
  <si>
    <t>001091605019006.01O</t>
  </si>
  <si>
    <t>00109160502100</t>
  </si>
  <si>
    <t>00109160502100ABAIN</t>
  </si>
  <si>
    <t>00109160502100ABLIN</t>
  </si>
  <si>
    <t>00109160502100AFAIN</t>
  </si>
  <si>
    <t>00109160502100BRUTH</t>
  </si>
  <si>
    <t>00109160502100BUSDR</t>
  </si>
  <si>
    <t>00109160502100CIALS</t>
  </si>
  <si>
    <t>00109160502100EXERC</t>
  </si>
  <si>
    <t>00109160502100LIFEG</t>
  </si>
  <si>
    <t>00109160502100PLAYA</t>
  </si>
  <si>
    <t>00109160502100PLAYL</t>
  </si>
  <si>
    <t>00109160502100RECW</t>
  </si>
  <si>
    <t>00109160502100TEENA</t>
  </si>
  <si>
    <t>00109160502100TEENL</t>
  </si>
  <si>
    <t>00109160502100TRVLB</t>
  </si>
  <si>
    <t>00109160502200</t>
  </si>
  <si>
    <t>00109160502300</t>
  </si>
  <si>
    <t>00109160502400</t>
  </si>
  <si>
    <t>00109160503401</t>
  </si>
  <si>
    <t>00109160503403</t>
  </si>
  <si>
    <t>0010916050340326053</t>
  </si>
  <si>
    <t>00109160503410EUPTN</t>
  </si>
  <si>
    <t>00109160503415</t>
  </si>
  <si>
    <t>00109160503450</t>
  </si>
  <si>
    <t>00109160503451</t>
  </si>
  <si>
    <t>00109160503456</t>
  </si>
  <si>
    <t>00109160503457</t>
  </si>
  <si>
    <t>0010916050349926053</t>
  </si>
  <si>
    <t>00109160503901</t>
  </si>
  <si>
    <t>00109160504015</t>
  </si>
  <si>
    <t>00109160504030</t>
  </si>
  <si>
    <t>00109160504060</t>
  </si>
  <si>
    <t>00109160504070</t>
  </si>
  <si>
    <t>00109160504070LR030</t>
  </si>
  <si>
    <t>00109160504070LR035</t>
  </si>
  <si>
    <t>00109160504201</t>
  </si>
  <si>
    <t>00109160504410</t>
  </si>
  <si>
    <t>00109160504430</t>
  </si>
  <si>
    <t>00109160504601</t>
  </si>
  <si>
    <t>00109160504610</t>
  </si>
  <si>
    <t>00109160504620</t>
  </si>
  <si>
    <t>00109160504680</t>
  </si>
  <si>
    <t>00109160504710</t>
  </si>
  <si>
    <t>00109160504810</t>
  </si>
  <si>
    <t>00109160504854</t>
  </si>
  <si>
    <t>00109160504870</t>
  </si>
  <si>
    <t>0010916050487026053</t>
  </si>
  <si>
    <t>00109160504910</t>
  </si>
  <si>
    <t>0010916050497026053</t>
  </si>
  <si>
    <t>00109160505101</t>
  </si>
  <si>
    <t>00109160505200</t>
  </si>
  <si>
    <t>00109160505201</t>
  </si>
  <si>
    <t>00109160505250</t>
  </si>
  <si>
    <t>00109160505250EFAMF</t>
  </si>
  <si>
    <t>00109160505250EHALL</t>
  </si>
  <si>
    <t>00109160505250ELUH</t>
  </si>
  <si>
    <t>00109160505250EUPTN</t>
  </si>
  <si>
    <t>00109160505250LR030</t>
  </si>
  <si>
    <t>00109160505250LR035</t>
  </si>
  <si>
    <t>00109160505255</t>
  </si>
  <si>
    <t>00109160505255LR005</t>
  </si>
  <si>
    <t>00109160505255LR010</t>
  </si>
  <si>
    <t>00109160505255LR015</t>
  </si>
  <si>
    <t>00109160505255LR020</t>
  </si>
  <si>
    <t>00109160505255LR025</t>
  </si>
  <si>
    <t>00109160505260</t>
  </si>
  <si>
    <t>00109160505401</t>
  </si>
  <si>
    <t>00109160505501</t>
  </si>
  <si>
    <t>00109160505505</t>
  </si>
  <si>
    <t>00109160505532</t>
  </si>
  <si>
    <t>00109160505540</t>
  </si>
  <si>
    <t>00109160505550</t>
  </si>
  <si>
    <t>00109160505701</t>
  </si>
  <si>
    <t>00109160505710</t>
  </si>
  <si>
    <t>00109160505730</t>
  </si>
  <si>
    <t>00109160505750</t>
  </si>
  <si>
    <t>00109160505750LR030</t>
  </si>
  <si>
    <t>00109160505750LR035</t>
  </si>
  <si>
    <t>00109160505801</t>
  </si>
  <si>
    <t>00109160564150</t>
  </si>
  <si>
    <t>00109160564450</t>
  </si>
  <si>
    <t>00109160564600</t>
  </si>
  <si>
    <t>00109160999999</t>
  </si>
  <si>
    <t>Lake Brantley Sports Complex</t>
  </si>
  <si>
    <r>
      <t>General Fund (</t>
    </r>
    <r>
      <rPr>
        <b/>
        <sz val="9"/>
        <rFont val="Calibri"/>
        <family val="2"/>
        <scheme val="minor"/>
      </rPr>
      <t>00109080</t>
    </r>
    <r>
      <rPr>
        <b/>
        <sz val="12"/>
        <rFont val="Calibri"/>
        <family val="2"/>
        <scheme val="minor"/>
      </rPr>
      <t>)</t>
    </r>
  </si>
  <si>
    <t>00109080</t>
  </si>
  <si>
    <t>Utilities-Energy/Power</t>
  </si>
  <si>
    <t>Ballfield LBHS/Softball</t>
  </si>
  <si>
    <t>Field House Gym</t>
  </si>
  <si>
    <t>Resurface Gym Floors</t>
  </si>
  <si>
    <t>Gym Cleaning/Field House</t>
  </si>
  <si>
    <t>Basketball Goal (Rebudget)</t>
  </si>
  <si>
    <t>Basketball Goal Maintenance</t>
  </si>
  <si>
    <t>Repair/Main-Technology</t>
  </si>
  <si>
    <t>00109080501201</t>
  </si>
  <si>
    <t>00109080501300</t>
  </si>
  <si>
    <t>00109080501305</t>
  </si>
  <si>
    <t>00109080501400</t>
  </si>
  <si>
    <t>00109080502100</t>
  </si>
  <si>
    <t>00109080504120</t>
  </si>
  <si>
    <t>00109080504310</t>
  </si>
  <si>
    <t>00109080504450</t>
  </si>
  <si>
    <t>00109080504601</t>
  </si>
  <si>
    <t>00109080504610</t>
  </si>
  <si>
    <t>00109080504620</t>
  </si>
  <si>
    <t>00109080504683</t>
  </si>
  <si>
    <t>00109080504699</t>
  </si>
  <si>
    <t>00109080504710</t>
  </si>
  <si>
    <t>00109080505201</t>
  </si>
  <si>
    <t>00109080505505</t>
  </si>
  <si>
    <t>00109080505550</t>
  </si>
  <si>
    <t>00109080505750</t>
  </si>
  <si>
    <t>00109080505801</t>
  </si>
  <si>
    <t>00109080562100</t>
  </si>
  <si>
    <t>00109080562301</t>
  </si>
  <si>
    <t>00109080564450</t>
  </si>
  <si>
    <t>00109080999999</t>
  </si>
  <si>
    <t>Lake Lotus Park</t>
  </si>
  <si>
    <r>
      <t>General Fund (</t>
    </r>
    <r>
      <rPr>
        <b/>
        <sz val="9"/>
        <rFont val="Calibri"/>
        <family val="2"/>
        <scheme val="minor"/>
      </rPr>
      <t>00109090</t>
    </r>
    <r>
      <rPr>
        <b/>
        <sz val="12"/>
        <rFont val="Calibri"/>
        <family val="2"/>
        <scheme val="minor"/>
      </rPr>
      <t>)</t>
    </r>
  </si>
  <si>
    <r>
      <t xml:space="preserve">Regular Salaries &amp; Wages
</t>
    </r>
    <r>
      <rPr>
        <sz val="9"/>
        <rFont val="Calibri"/>
        <family val="2"/>
      </rPr>
      <t xml:space="preserve">    Base: 3 Positions</t>
    </r>
  </si>
  <si>
    <t>00109090</t>
  </si>
  <si>
    <t>On Call</t>
  </si>
  <si>
    <t>Interpretive Park Ranger Supervisor</t>
  </si>
  <si>
    <t>Interpretive Park Ranger</t>
  </si>
  <si>
    <t>Other Services-Sludge Hauling</t>
  </si>
  <si>
    <t>Other Contractual Service</t>
  </si>
  <si>
    <t>Travel-Training</t>
  </si>
  <si>
    <t>Storage Unit</t>
  </si>
  <si>
    <t xml:space="preserve">Fence </t>
  </si>
  <si>
    <t>Repair/Maint-Landscape</t>
  </si>
  <si>
    <t>Lumber</t>
  </si>
  <si>
    <t>Concrete/Stone/Brick/Paver</t>
  </si>
  <si>
    <t>Custodial Supplies</t>
  </si>
  <si>
    <t>Landscaping Supplies</t>
  </si>
  <si>
    <t>Office Equipment &lt; $5,000</t>
  </si>
  <si>
    <t>00109090501201</t>
  </si>
  <si>
    <t>00109090501290</t>
  </si>
  <si>
    <t>00109090501300</t>
  </si>
  <si>
    <t>00109090501400</t>
  </si>
  <si>
    <t>00109090501401</t>
  </si>
  <si>
    <t>00109090501600</t>
  </si>
  <si>
    <t>00109090501702</t>
  </si>
  <si>
    <t>00109090501800</t>
  </si>
  <si>
    <t>00109090502100</t>
  </si>
  <si>
    <t>00109090502100CIALS</t>
  </si>
  <si>
    <t>00109090502200</t>
  </si>
  <si>
    <t>00109090502300</t>
  </si>
  <si>
    <t>00109090502400</t>
  </si>
  <si>
    <t>00109090503450</t>
  </si>
  <si>
    <t>00109090503460</t>
  </si>
  <si>
    <t>00109090503461</t>
  </si>
  <si>
    <t>00109090503499</t>
  </si>
  <si>
    <t>00109090503901</t>
  </si>
  <si>
    <t>00109090504010</t>
  </si>
  <si>
    <t>00109090504015</t>
  </si>
  <si>
    <t>00109090504060</t>
  </si>
  <si>
    <t>00109090504070</t>
  </si>
  <si>
    <t>00109090504450</t>
  </si>
  <si>
    <t>00109090504601</t>
  </si>
  <si>
    <t>00109090504602</t>
  </si>
  <si>
    <t>00109090504615</t>
  </si>
  <si>
    <t>00109090504620</t>
  </si>
  <si>
    <t>00109090504675</t>
  </si>
  <si>
    <t>00109090504710</t>
  </si>
  <si>
    <t>00109090504810</t>
  </si>
  <si>
    <t>00109090504854</t>
  </si>
  <si>
    <t>00109090505101</t>
  </si>
  <si>
    <t>00109090505201</t>
  </si>
  <si>
    <t>00109090505210</t>
  </si>
  <si>
    <t>00109090505260</t>
  </si>
  <si>
    <t>00109090505285</t>
  </si>
  <si>
    <t>00109090505440</t>
  </si>
  <si>
    <t>00109090505501</t>
  </si>
  <si>
    <t>00109090505505</t>
  </si>
  <si>
    <t>00109090505532</t>
  </si>
  <si>
    <t>00109090505540</t>
  </si>
  <si>
    <t>00109090505550</t>
  </si>
  <si>
    <t>00109090505701</t>
  </si>
  <si>
    <t>00109090505715</t>
  </si>
  <si>
    <t>00109090505730</t>
  </si>
  <si>
    <t>00109090505750</t>
  </si>
  <si>
    <t>00109090505801</t>
  </si>
  <si>
    <t>00109090562110</t>
  </si>
  <si>
    <t>00109090564450</t>
  </si>
  <si>
    <t>00109090999999</t>
  </si>
  <si>
    <r>
      <t>General Fund (</t>
    </r>
    <r>
      <rPr>
        <b/>
        <sz val="9"/>
        <rFont val="Calibri"/>
        <family val="2"/>
        <scheme val="minor"/>
      </rPr>
      <t>00109200</t>
    </r>
    <r>
      <rPr>
        <b/>
        <sz val="12"/>
        <rFont val="Calibri"/>
        <family val="2"/>
        <scheme val="minor"/>
      </rPr>
      <t>)</t>
    </r>
  </si>
  <si>
    <r>
      <t xml:space="preserve">Regular Salaries &amp; Wages
</t>
    </r>
    <r>
      <rPr>
        <sz val="9"/>
        <rFont val="Calibri"/>
        <family val="2"/>
      </rPr>
      <t xml:space="preserve">    Base: 14 Positions</t>
    </r>
  </si>
  <si>
    <t>00109200</t>
  </si>
  <si>
    <t xml:space="preserve">Full Time Employees </t>
  </si>
  <si>
    <t>Park Manager</t>
  </si>
  <si>
    <t>Event Park Ranger</t>
  </si>
  <si>
    <t>Park Ranger</t>
  </si>
  <si>
    <t>Total Full Time Employees</t>
  </si>
  <si>
    <t xml:space="preserve">Part Time Employees </t>
  </si>
  <si>
    <t>4B</t>
  </si>
  <si>
    <t>Total Part Time Employees</t>
  </si>
  <si>
    <t>Professional Services-Electrical</t>
  </si>
  <si>
    <t>Electrical Services</t>
  </si>
  <si>
    <t>Park Lighting</t>
  </si>
  <si>
    <t>Professional Services-Security</t>
  </si>
  <si>
    <t>Pressure Washing</t>
  </si>
  <si>
    <t>Technical Training</t>
  </si>
  <si>
    <t>Office Lease-Rangers</t>
  </si>
  <si>
    <t>Aluminum Railings</t>
  </si>
  <si>
    <t>Lumber Boards</t>
  </si>
  <si>
    <t>AV System</t>
  </si>
  <si>
    <t>Fountain</t>
  </si>
  <si>
    <t>Promo Activity-Flags/Banners</t>
  </si>
  <si>
    <t>Gas/Oil/Lube</t>
  </si>
  <si>
    <t>Office Furniture &lt; $5,000</t>
  </si>
  <si>
    <t>Technology Items &lt; 5,000</t>
  </si>
  <si>
    <t>Capital Outlay Lease</t>
  </si>
  <si>
    <t>Lease Principal-Office Lease</t>
  </si>
  <si>
    <t>Lease Interest-Office Lease</t>
  </si>
  <si>
    <t>00109200168910</t>
  </si>
  <si>
    <t>00109200168951</t>
  </si>
  <si>
    <t>00109200225900</t>
  </si>
  <si>
    <t>00109200225990</t>
  </si>
  <si>
    <t>00109200383100</t>
  </si>
  <si>
    <t>00109200501201</t>
  </si>
  <si>
    <t>00109200501290</t>
  </si>
  <si>
    <t>00109200501300</t>
  </si>
  <si>
    <t>00109200501400</t>
  </si>
  <si>
    <t>00109200501401</t>
  </si>
  <si>
    <t>00109200501600</t>
  </si>
  <si>
    <t>00109200501701</t>
  </si>
  <si>
    <t>00109200501702</t>
  </si>
  <si>
    <t>00109200501800</t>
  </si>
  <si>
    <t>00109200502100</t>
  </si>
  <si>
    <t>00109200502200</t>
  </si>
  <si>
    <t>00109200502300</t>
  </si>
  <si>
    <t>00109200502400</t>
  </si>
  <si>
    <t>00109200503182</t>
  </si>
  <si>
    <t>00109200503185</t>
  </si>
  <si>
    <t>00109200503401</t>
  </si>
  <si>
    <t>00109200503450</t>
  </si>
  <si>
    <t>00109200503460</t>
  </si>
  <si>
    <t>00109200503461</t>
  </si>
  <si>
    <t>00109200503499</t>
  </si>
  <si>
    <t>00109200504010</t>
  </si>
  <si>
    <t>00109200504015</t>
  </si>
  <si>
    <t>00109200504060</t>
  </si>
  <si>
    <t>00109200504070</t>
  </si>
  <si>
    <t>00109200504430</t>
  </si>
  <si>
    <t>00109200504450</t>
  </si>
  <si>
    <t>00109200504601</t>
  </si>
  <si>
    <t>00109200504620</t>
  </si>
  <si>
    <t>00109200504675</t>
  </si>
  <si>
    <t>00109200504683</t>
  </si>
  <si>
    <t>00109200504699</t>
  </si>
  <si>
    <t>00109200504871</t>
  </si>
  <si>
    <t>00109200505101</t>
  </si>
  <si>
    <t>00109200505201</t>
  </si>
  <si>
    <t>00109200505210</t>
  </si>
  <si>
    <t>00109200505401</t>
  </si>
  <si>
    <t>00109200505501</t>
  </si>
  <si>
    <t>00109200505505</t>
  </si>
  <si>
    <t>00109200505532</t>
  </si>
  <si>
    <t>00109200505540</t>
  </si>
  <si>
    <t>00109200505550</t>
  </si>
  <si>
    <t>00109200505601</t>
  </si>
  <si>
    <t>00109200505701</t>
  </si>
  <si>
    <t>00109200505710</t>
  </si>
  <si>
    <t>00109200505730</t>
  </si>
  <si>
    <t>00109200505750</t>
  </si>
  <si>
    <t>00109200505801</t>
  </si>
  <si>
    <t>00109200563410</t>
  </si>
  <si>
    <t>00109200568000</t>
  </si>
  <si>
    <t>00109200571000</t>
  </si>
  <si>
    <t>00109200571200</t>
  </si>
  <si>
    <t>00109200999999</t>
  </si>
  <si>
    <t>Allowable use: used solely for the purpose of acquisition, expansion and development of the capital assets determined to be needed to serve new development</t>
  </si>
  <si>
    <t>Recreational Facilities Impact Fee Fund (315)</t>
  </si>
  <si>
    <t>Acct</t>
  </si>
  <si>
    <t>projected</t>
  </si>
  <si>
    <t>No</t>
  </si>
  <si>
    <t>Projected</t>
  </si>
  <si>
    <t>bal of year</t>
  </si>
  <si>
    <t>total</t>
  </si>
  <si>
    <t>REVENUES</t>
  </si>
  <si>
    <t>Impact Fees Residential</t>
  </si>
  <si>
    <t>Impact Fees Commercial</t>
  </si>
  <si>
    <t>Interest Income</t>
  </si>
  <si>
    <t>Total Revenues</t>
  </si>
  <si>
    <t>interest income</t>
  </si>
  <si>
    <t>unrealized gains (losses)</t>
  </si>
  <si>
    <t>EXPENDITURES</t>
  </si>
  <si>
    <t>realized gains (losses)</t>
  </si>
  <si>
    <t>Eastmonte Synthetic Turf (Rebudget)</t>
  </si>
  <si>
    <t>Total Expenditures</t>
  </si>
  <si>
    <t>REVENUES OVER (UNDER) EXPENDITURES</t>
  </si>
  <si>
    <t>FUND BALANCE</t>
  </si>
  <si>
    <t>Beginning of Year</t>
  </si>
  <si>
    <t>End of Year</t>
  </si>
  <si>
    <t>Park Landscape Management and Operations</t>
  </si>
  <si>
    <r>
      <t>General Fund (</t>
    </r>
    <r>
      <rPr>
        <b/>
        <sz val="9"/>
        <rFont val="Calibri"/>
        <family val="2"/>
        <scheme val="minor"/>
      </rPr>
      <t>00109030</t>
    </r>
    <r>
      <rPr>
        <b/>
        <sz val="12"/>
        <rFont val="Calibri"/>
        <family val="2"/>
        <scheme val="minor"/>
      </rPr>
      <t>)</t>
    </r>
  </si>
  <si>
    <r>
      <t xml:space="preserve">Regular Salaries &amp; Wages
</t>
    </r>
    <r>
      <rPr>
        <sz val="9"/>
        <rFont val="Calibri"/>
        <family val="2"/>
        <scheme val="minor"/>
      </rPr>
      <t xml:space="preserve">    Base: 28 Positions</t>
    </r>
  </si>
  <si>
    <t>00109030</t>
  </si>
  <si>
    <r>
      <t xml:space="preserve">Part-Time Salaries &amp; Wages
</t>
    </r>
    <r>
      <rPr>
        <sz val="9"/>
        <rFont val="Calibri"/>
        <family val="2"/>
        <scheme val="minor"/>
      </rPr>
      <t xml:space="preserve">    Base: 1 Position</t>
    </r>
  </si>
  <si>
    <t>PLMO Operations Manager</t>
  </si>
  <si>
    <t>Park/Grounds Supervisor</t>
  </si>
  <si>
    <t>Turf Specialist</t>
  </si>
  <si>
    <t>Landscape Maint. Supervisor</t>
  </si>
  <si>
    <t>Chemical Application Tech</t>
  </si>
  <si>
    <t>Horticulture Leader</t>
  </si>
  <si>
    <t>Irrigation Supervisor</t>
  </si>
  <si>
    <t>Senior Arborist</t>
  </si>
  <si>
    <t>3A/3B</t>
  </si>
  <si>
    <t>Crew Leader</t>
  </si>
  <si>
    <t>Heavy Equipment Operator</t>
  </si>
  <si>
    <t>6B</t>
  </si>
  <si>
    <t>Irrigation Technician</t>
  </si>
  <si>
    <t>Arborist Technician</t>
  </si>
  <si>
    <t>Groundskeeper/Landscapers</t>
  </si>
  <si>
    <t>Landscape Supervisor</t>
  </si>
  <si>
    <t>Arborist</t>
  </si>
  <si>
    <t>Tree Maint/Heavy Equip Operator</t>
  </si>
  <si>
    <t>Tree Maint Worker</t>
  </si>
  <si>
    <t>Total Full-Time Employees</t>
  </si>
  <si>
    <t>Special Worker</t>
  </si>
  <si>
    <t>4APT</t>
  </si>
  <si>
    <t>Other Services-Landscaping</t>
  </si>
  <si>
    <t>Landscaping - West Alt Fuel Tank</t>
  </si>
  <si>
    <t>Sod</t>
  </si>
  <si>
    <t>Tree Removal and Trimming</t>
  </si>
  <si>
    <t>Professional Training</t>
  </si>
  <si>
    <t>General Maintenance (All Parks)</t>
  </si>
  <si>
    <t>Replace Windscreens (EM, WM, MP)</t>
  </si>
  <si>
    <t>Crimson Stone</t>
  </si>
  <si>
    <t>Clay</t>
  </si>
  <si>
    <t>Field Paint</t>
  </si>
  <si>
    <t>Sand</t>
  </si>
  <si>
    <t>General Landscaping</t>
  </si>
  <si>
    <t>Homeowner Asst/Trees E/M</t>
  </si>
  <si>
    <t>Irrigation Parts/Repair/City-wide</t>
  </si>
  <si>
    <t>Repl Plants/Right of Way</t>
  </si>
  <si>
    <t>Repl Sod/Common Areas/Parks</t>
  </si>
  <si>
    <t>Repl Safety Surfaces Wood Mulch Fiber</t>
  </si>
  <si>
    <t>Mulch (All Parks)</t>
  </si>
  <si>
    <t>Fertilizer</t>
  </si>
  <si>
    <t>Insecticides/Pesticides (All Parks)</t>
  </si>
  <si>
    <t>Technology Items &lt;5,000</t>
  </si>
  <si>
    <t>00109030501201</t>
  </si>
  <si>
    <t>00109030501210</t>
  </si>
  <si>
    <t>00109030501290</t>
  </si>
  <si>
    <t>00109030501300</t>
  </si>
  <si>
    <t>00109030501400</t>
  </si>
  <si>
    <t>00109030501401</t>
  </si>
  <si>
    <t>00109030501600</t>
  </si>
  <si>
    <t>00109030501702</t>
  </si>
  <si>
    <t>00109030501800</t>
  </si>
  <si>
    <t>00109030502100</t>
  </si>
  <si>
    <t>00109030502100CIALS</t>
  </si>
  <si>
    <t>00109030502200</t>
  </si>
  <si>
    <t>00109030502300</t>
  </si>
  <si>
    <t>00109030502400</t>
  </si>
  <si>
    <t>00109030503420</t>
  </si>
  <si>
    <t>0010903050342022025</t>
  </si>
  <si>
    <t>00109030503450</t>
  </si>
  <si>
    <t>00109030503460</t>
  </si>
  <si>
    <t>00109030503499</t>
  </si>
  <si>
    <t>00109030503901</t>
  </si>
  <si>
    <t>00109030504001</t>
  </si>
  <si>
    <t>00109030504020</t>
  </si>
  <si>
    <t>00109030504030</t>
  </si>
  <si>
    <t>00109030504060</t>
  </si>
  <si>
    <t>00109030504070</t>
  </si>
  <si>
    <t>00109030504430</t>
  </si>
  <si>
    <t>00109030504601</t>
  </si>
  <si>
    <t>00109030504602</t>
  </si>
  <si>
    <t>00109030504610</t>
  </si>
  <si>
    <t>00109030504615</t>
  </si>
  <si>
    <t>0010903050461522025</t>
  </si>
  <si>
    <t>00109030504620</t>
  </si>
  <si>
    <t>00109030504675</t>
  </si>
  <si>
    <t>00109030504710</t>
  </si>
  <si>
    <t>00109030504854</t>
  </si>
  <si>
    <t>00109030505101</t>
  </si>
  <si>
    <t>00109030505201</t>
  </si>
  <si>
    <t>00109030505220</t>
  </si>
  <si>
    <t>00109030505285</t>
  </si>
  <si>
    <t>00109030505401</t>
  </si>
  <si>
    <t>00109030505501</t>
  </si>
  <si>
    <t>00109030505505</t>
  </si>
  <si>
    <t>00109030505532</t>
  </si>
  <si>
    <t>00109030505540</t>
  </si>
  <si>
    <t>00109030505550</t>
  </si>
  <si>
    <t>00109030505602</t>
  </si>
  <si>
    <t>00109030505701</t>
  </si>
  <si>
    <t>00109030505710</t>
  </si>
  <si>
    <t>00109030505715</t>
  </si>
  <si>
    <t>00109030505730</t>
  </si>
  <si>
    <t>00109030505750</t>
  </si>
  <si>
    <t>00109030505801</t>
  </si>
  <si>
    <t>00109030562100</t>
  </si>
  <si>
    <t>00109030562110</t>
  </si>
  <si>
    <t>00109030563345</t>
  </si>
  <si>
    <t>00109030564150</t>
  </si>
  <si>
    <t>00109030564200</t>
  </si>
  <si>
    <t>00109030564450</t>
  </si>
  <si>
    <t>00109030564600</t>
  </si>
  <si>
    <t>00109030999999</t>
  </si>
  <si>
    <t>Fleet Maintenance</t>
  </si>
  <si>
    <r>
      <t>General Fund (</t>
    </r>
    <r>
      <rPr>
        <b/>
        <sz val="9"/>
        <rFont val="Calibri"/>
        <family val="2"/>
        <scheme val="minor"/>
      </rPr>
      <t>00109040</t>
    </r>
    <r>
      <rPr>
        <b/>
        <sz val="12"/>
        <rFont val="Calibri"/>
        <family val="2"/>
        <scheme val="minor"/>
      </rPr>
      <t>)</t>
    </r>
  </si>
  <si>
    <r>
      <t xml:space="preserve">Regular Salaries &amp; Wages
</t>
    </r>
    <r>
      <rPr>
        <sz val="9"/>
        <rFont val="Calibri"/>
        <family val="2"/>
        <scheme val="minor"/>
      </rPr>
      <t xml:space="preserve">    Base: 11 Positions</t>
    </r>
  </si>
  <si>
    <t>00109040</t>
  </si>
  <si>
    <t xml:space="preserve">$ </t>
  </si>
  <si>
    <t>Fleet Division Manager</t>
  </si>
  <si>
    <t>3D</t>
  </si>
  <si>
    <t>Heavy Equip. Tech IV - Master</t>
  </si>
  <si>
    <t>6C</t>
  </si>
  <si>
    <t>Auto Service Writer</t>
  </si>
  <si>
    <t>Automotive Technician</t>
  </si>
  <si>
    <t>6A, 6B</t>
  </si>
  <si>
    <t>Heavy Equipment Technician</t>
  </si>
  <si>
    <t>Equipment Installation Technician</t>
  </si>
  <si>
    <t>Small Engine Technician</t>
  </si>
  <si>
    <t>Preventive Maint Mechanic</t>
  </si>
  <si>
    <t>Auto Parts Specialist</t>
  </si>
  <si>
    <t>Professional Services-Consulting</t>
  </si>
  <si>
    <t>Lift Inspections and Repairs</t>
  </si>
  <si>
    <t>Repair/Maint-Vehicle</t>
  </si>
  <si>
    <t>Fleet Inventory Parts</t>
  </si>
  <si>
    <t>Gas, Oil &amp; Lube</t>
  </si>
  <si>
    <t>Small Tools/Equip &gt; $5,000</t>
  </si>
  <si>
    <t>Laptop</t>
  </si>
  <si>
    <t>Docking Station</t>
  </si>
  <si>
    <t>00109040501201</t>
  </si>
  <si>
    <t>00109040501400</t>
  </si>
  <si>
    <t>00109040501401</t>
  </si>
  <si>
    <t>00109040501600</t>
  </si>
  <si>
    <t>00109040501701</t>
  </si>
  <si>
    <t>00109040501702</t>
  </si>
  <si>
    <t>00109040501800</t>
  </si>
  <si>
    <t>00109040502100</t>
  </si>
  <si>
    <t>00109040502100CIALS</t>
  </si>
  <si>
    <t>00109040502200</t>
  </si>
  <si>
    <t>00109040502300</t>
  </si>
  <si>
    <t>00109040502400</t>
  </si>
  <si>
    <t>00109040503120</t>
  </si>
  <si>
    <t>00109040503140</t>
  </si>
  <si>
    <t>00109040503403</t>
  </si>
  <si>
    <t>00109040503460</t>
  </si>
  <si>
    <t>00109040503499</t>
  </si>
  <si>
    <t>00109040503901</t>
  </si>
  <si>
    <t>00109040504001</t>
  </si>
  <si>
    <t>00109040504015</t>
  </si>
  <si>
    <t>00109040504020</t>
  </si>
  <si>
    <t>00109040504030</t>
  </si>
  <si>
    <t>00109040504060</t>
  </si>
  <si>
    <t>00109040504070</t>
  </si>
  <si>
    <t>00109040504401</t>
  </si>
  <si>
    <t>00109040504430</t>
  </si>
  <si>
    <t>00109040504601</t>
  </si>
  <si>
    <t>00109040504620</t>
  </si>
  <si>
    <t>00109040504680</t>
  </si>
  <si>
    <t>00109040504690</t>
  </si>
  <si>
    <t>00109040504710</t>
  </si>
  <si>
    <t>00109040504854</t>
  </si>
  <si>
    <t>00109040505101</t>
  </si>
  <si>
    <t>00109040505201</t>
  </si>
  <si>
    <t>00109040505270</t>
  </si>
  <si>
    <t>00109040505401</t>
  </si>
  <si>
    <t>00109040505501</t>
  </si>
  <si>
    <t>00109040505505</t>
  </si>
  <si>
    <t>00109040505532</t>
  </si>
  <si>
    <t>00109040505540</t>
  </si>
  <si>
    <t>00109040505550</t>
  </si>
  <si>
    <t>00109040505601</t>
  </si>
  <si>
    <t>00109040505602</t>
  </si>
  <si>
    <t>00109040505701</t>
  </si>
  <si>
    <t>00109040505730</t>
  </si>
  <si>
    <t>00109040505801</t>
  </si>
  <si>
    <t>00109040562100</t>
  </si>
  <si>
    <t>0010904056310020006</t>
  </si>
  <si>
    <t>00109040564150</t>
  </si>
  <si>
    <t>00109040564500</t>
  </si>
  <si>
    <t>00109040999999</t>
  </si>
  <si>
    <t>Facilities Maintenance</t>
  </si>
  <si>
    <r>
      <t>General Fund (</t>
    </r>
    <r>
      <rPr>
        <b/>
        <sz val="9"/>
        <rFont val="Calibri"/>
        <family val="2"/>
        <scheme val="minor"/>
      </rPr>
      <t>00109070</t>
    </r>
    <r>
      <rPr>
        <b/>
        <sz val="12"/>
        <rFont val="Calibri"/>
        <family val="2"/>
        <scheme val="minor"/>
      </rPr>
      <t>)</t>
    </r>
  </si>
  <si>
    <t>00109070</t>
  </si>
  <si>
    <r>
      <t xml:space="preserve">Part-Time Salaries &amp; Wages
</t>
    </r>
    <r>
      <rPr>
        <sz val="9"/>
        <rFont val="Calibri"/>
        <family val="2"/>
        <scheme val="minor"/>
      </rPr>
      <t xml:space="preserve">    Base: 5 Positions</t>
    </r>
  </si>
  <si>
    <t>ARPA Reimbursement-Custodial</t>
  </si>
  <si>
    <t>6.01P</t>
  </si>
  <si>
    <t>Facility Maintenance Manager</t>
  </si>
  <si>
    <t>Facility Planning &amp; Const Proj Manager</t>
  </si>
  <si>
    <t>Facilities Trades Manager</t>
  </si>
  <si>
    <t>HVAC Technician</t>
  </si>
  <si>
    <t>Plumber</t>
  </si>
  <si>
    <t>Electrician</t>
  </si>
  <si>
    <t>Venue Maint Specialist</t>
  </si>
  <si>
    <t>Project Liaison</t>
  </si>
  <si>
    <t>Maintenance Specialist</t>
  </si>
  <si>
    <t>Office Manager</t>
  </si>
  <si>
    <t>Custodial Manager</t>
  </si>
  <si>
    <t>Custodian</t>
  </si>
  <si>
    <t>4A</t>
  </si>
  <si>
    <t>Facilities Maint and Develop Supervisor</t>
  </si>
  <si>
    <t>HVAC/Bldg Control Spec</t>
  </si>
  <si>
    <t xml:space="preserve">   Total Full-Time Employees</t>
  </si>
  <si>
    <t xml:space="preserve">   Total Part-Time Employees</t>
  </si>
  <si>
    <t>Prof Services-Architectural</t>
  </si>
  <si>
    <t>Other Services-Software Subscr</t>
  </si>
  <si>
    <t>Other Services-Custodial</t>
  </si>
  <si>
    <t>Carpet Cleaning</t>
  </si>
  <si>
    <t>Other Services-Pest Control</t>
  </si>
  <si>
    <t>City Gym Cleaning</t>
  </si>
  <si>
    <t>Gym Equipment Repair</t>
  </si>
  <si>
    <t>Lamp Recycling</t>
  </si>
  <si>
    <t>Holiday Decorating Services</t>
  </si>
  <si>
    <t>Other Utilities WS SD Refuse</t>
  </si>
  <si>
    <t>Electrical Repair/Parts</t>
  </si>
  <si>
    <t>Plumbing Repair/Parts</t>
  </si>
  <si>
    <t>HVAC</t>
  </si>
  <si>
    <t>Painting City-wide</t>
  </si>
  <si>
    <t>Roofing Repairs</t>
  </si>
  <si>
    <t>Doors/Gate Repairs (City-wide)</t>
  </si>
  <si>
    <t>West Alta Pest Removal</t>
  </si>
  <si>
    <t>Bus Stop Stations</t>
  </si>
  <si>
    <t>Ballfield Lighting</t>
  </si>
  <si>
    <t>Scoreboard Modules</t>
  </si>
  <si>
    <t>Fire Burglar Alarm Monitoring</t>
  </si>
  <si>
    <t>Elevator Monitoring</t>
  </si>
  <si>
    <t>Generator Maintenance</t>
  </si>
  <si>
    <t>Fire Sprinkler Maintenance</t>
  </si>
  <si>
    <t>Fire Suppression/Chem/Halon</t>
  </si>
  <si>
    <t>Low Voltage Sys Maint/PSB</t>
  </si>
  <si>
    <t>Fire Extinguisher Maint/City-wide</t>
  </si>
  <si>
    <t>Elevator Maint/Inspection</t>
  </si>
  <si>
    <t>Generator Warranty</t>
  </si>
  <si>
    <t>Leibert UPS Maintenance</t>
  </si>
  <si>
    <t>VRLA Battery Maintenance</t>
  </si>
  <si>
    <t>Security Camera Hardware Maint</t>
  </si>
  <si>
    <t>Holiday Decorations &amp; Lights</t>
  </si>
  <si>
    <t>HVAC Filters/Health</t>
  </si>
  <si>
    <t>Lighting (Bulb Replacement)</t>
  </si>
  <si>
    <t>Batteries</t>
  </si>
  <si>
    <t>RS Means Job Costing</t>
  </si>
  <si>
    <t>Appliances as Needed</t>
  </si>
  <si>
    <t>00109070501201</t>
  </si>
  <si>
    <t>00109070501210</t>
  </si>
  <si>
    <t>00109070501290</t>
  </si>
  <si>
    <t>00109070501300</t>
  </si>
  <si>
    <t>00109070501400</t>
  </si>
  <si>
    <t>00109070501401</t>
  </si>
  <si>
    <t>00109070501600</t>
  </si>
  <si>
    <t>00109070501701</t>
  </si>
  <si>
    <t>00109070501702</t>
  </si>
  <si>
    <t>00109070501800</t>
  </si>
  <si>
    <t>001090705019006.01P</t>
  </si>
  <si>
    <t>00109070502100</t>
  </si>
  <si>
    <t>00109070502200</t>
  </si>
  <si>
    <t>00109070502300</t>
  </si>
  <si>
    <t>00109070502400</t>
  </si>
  <si>
    <t>00109070503140</t>
  </si>
  <si>
    <t>0010907050314012201</t>
  </si>
  <si>
    <t>00109070503403</t>
  </si>
  <si>
    <t>00109070503410</t>
  </si>
  <si>
    <t>00109070503440</t>
  </si>
  <si>
    <t>00109070503450</t>
  </si>
  <si>
    <t>00109070503460</t>
  </si>
  <si>
    <t>00109070503481</t>
  </si>
  <si>
    <t>00109070503499</t>
  </si>
  <si>
    <t>00109070503901</t>
  </si>
  <si>
    <t>00109070504005</t>
  </si>
  <si>
    <t>00109070504010</t>
  </si>
  <si>
    <t>00109070504015</t>
  </si>
  <si>
    <t>00109070504030</t>
  </si>
  <si>
    <t>00109070504050</t>
  </si>
  <si>
    <t>00109070504060</t>
  </si>
  <si>
    <t>00109070504070</t>
  </si>
  <si>
    <t>00109070504310</t>
  </si>
  <si>
    <t>00109070504315</t>
  </si>
  <si>
    <t>00109070504430</t>
  </si>
  <si>
    <t>00109070504601</t>
  </si>
  <si>
    <t>00109070504610</t>
  </si>
  <si>
    <t>00109070504620</t>
  </si>
  <si>
    <t>00109070504680</t>
  </si>
  <si>
    <t>00109070504683</t>
  </si>
  <si>
    <t>00109070504710</t>
  </si>
  <si>
    <t>00109070504810</t>
  </si>
  <si>
    <t>00109070504854</t>
  </si>
  <si>
    <t>00109070505101</t>
  </si>
  <si>
    <t>00109070505201</t>
  </si>
  <si>
    <t>0010907050520124078</t>
  </si>
  <si>
    <t>00109070505210</t>
  </si>
  <si>
    <t>00109070505401</t>
  </si>
  <si>
    <t>00109070505501</t>
  </si>
  <si>
    <t>00109070505505</t>
  </si>
  <si>
    <t>00109070505532</t>
  </si>
  <si>
    <t>00109070505540</t>
  </si>
  <si>
    <t>00109070505550</t>
  </si>
  <si>
    <t>00109070505602</t>
  </si>
  <si>
    <t>00109070505701</t>
  </si>
  <si>
    <t>00109070505710</t>
  </si>
  <si>
    <t>00109070505730</t>
  </si>
  <si>
    <t>00109070505801</t>
  </si>
  <si>
    <t>00109070562100</t>
  </si>
  <si>
    <t>00109070562110</t>
  </si>
  <si>
    <t>00109070562200</t>
  </si>
  <si>
    <t>00109070562210</t>
  </si>
  <si>
    <t>00109070562310</t>
  </si>
  <si>
    <t>00109070562600</t>
  </si>
  <si>
    <t>00109070563100</t>
  </si>
  <si>
    <t>00109070564100</t>
  </si>
  <si>
    <t>00109070564150</t>
  </si>
  <si>
    <t>00109070564500</t>
  </si>
  <si>
    <t>00109070564550</t>
  </si>
  <si>
    <t>00109070999999</t>
  </si>
  <si>
    <t>Tree Bank Fund (01109030)</t>
  </si>
  <si>
    <t>Statement of Revenues, Expenditures, and Changes in Fund Balance</t>
  </si>
  <si>
    <t>actual</t>
  </si>
  <si>
    <t>bal of yr</t>
  </si>
  <si>
    <t>interest</t>
  </si>
  <si>
    <t>Tree Replacements</t>
  </si>
  <si>
    <t>realized</t>
  </si>
  <si>
    <t>Investment Income</t>
  </si>
  <si>
    <t>unrealized</t>
  </si>
  <si>
    <t>Tree Trimming and Removal</t>
  </si>
  <si>
    <t>Reserved for Contingencies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</si>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</sst>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#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u/>
      <sz val="9"/>
      <name val="Calibri"/>
      <family val="2"/>
      <scheme val="minor"/>
    </font>
    <font>
      <sz val="9"/>
      <color indexed="81"/>
      <name val="Tahoma"/>
      <family val="2"/>
    </font>
    <font>
      <strike/>
      <sz val="9"/>
      <name val="Calibri"/>
      <family val="2"/>
      <scheme val="minor"/>
    </font>
    <font>
      <sz val="8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name val="Calibri"/>
      <family val="2"/>
    </font>
    <font>
      <sz val="7"/>
      <name val="Calibri"/>
      <family val="2"/>
      <scheme val="minor"/>
    </font>
    <font>
      <sz val="11"/>
      <color rgb="FF000000"/>
      <name val="Calibri"/>
      <family val="2"/>
    </font>
    <font>
      <sz val="11"/>
      <color rgb="FF313335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43" fontId="7" fillId="0" borderId="0" applyFont="0" applyFill="0" applyBorder="0" applyAlignment="0" applyProtection="0"/>
    <xf numFmtId="43" fontId="4" fillId="0" borderId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" fillId="0" borderId="0"/>
    <xf numFmtId="37" fontId="4" fillId="0" borderId="0"/>
  </cellStyleXfs>
  <cellXfs count="242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2"/>
    <xf numFmtId="0" fontId="5" fillId="0" borderId="0" xfId="2" applyFont="1" applyAlignment="1" applyProtection="1">
      <alignment horizontal="centerContinuous"/>
      <protection locked="0"/>
    </xf>
    <xf numFmtId="49" fontId="5" fillId="0" borderId="0" xfId="2" applyNumberFormat="1" applyFont="1" applyAlignment="1" applyProtection="1">
      <alignment horizontal="centerContinuous"/>
      <protection locked="0"/>
    </xf>
    <xf numFmtId="0" fontId="5" fillId="0" borderId="0" xfId="2" applyFont="1" applyAlignment="1" applyProtection="1">
      <alignment horizontal="left"/>
      <protection locked="0"/>
    </xf>
    <xf numFmtId="0" fontId="5" fillId="0" borderId="0" xfId="2" applyFont="1" applyAlignment="1" applyProtection="1">
      <alignment horizontal="center"/>
      <protection locked="0"/>
    </xf>
    <xf numFmtId="164" fontId="5" fillId="0" borderId="0" xfId="2" applyNumberFormat="1" applyFont="1" applyAlignment="1" applyProtection="1">
      <alignment horizontal="centerContinuous"/>
      <protection locked="0"/>
    </xf>
    <xf numFmtId="0" fontId="5" fillId="0" borderId="0" xfId="2" applyFont="1" applyAlignment="1">
      <alignment horizontal="centerContinuous"/>
    </xf>
    <xf numFmtId="0" fontId="6" fillId="0" borderId="0" xfId="2" applyFont="1" applyAlignment="1" applyProtection="1">
      <alignment horizontal="center"/>
      <protection locked="0"/>
    </xf>
    <xf numFmtId="0" fontId="5" fillId="0" borderId="1" xfId="2" applyFont="1" applyBorder="1" applyProtection="1">
      <protection locked="0"/>
    </xf>
    <xf numFmtId="49" fontId="5" fillId="0" borderId="1" xfId="2" applyNumberFormat="1" applyFont="1" applyBorder="1" applyProtection="1">
      <protection locked="0"/>
    </xf>
    <xf numFmtId="0" fontId="5" fillId="0" borderId="1" xfId="2" applyFont="1" applyBorder="1" applyAlignment="1" applyProtection="1">
      <alignment horizontal="left"/>
      <protection locked="0"/>
    </xf>
    <xf numFmtId="0" fontId="5" fillId="0" borderId="1" xfId="2" applyFont="1" applyBorder="1" applyAlignment="1" applyProtection="1">
      <alignment horizontal="center"/>
      <protection locked="0"/>
    </xf>
    <xf numFmtId="164" fontId="5" fillId="0" borderId="1" xfId="2" applyNumberFormat="1" applyFont="1" applyBorder="1" applyProtection="1">
      <protection locked="0"/>
    </xf>
    <xf numFmtId="0" fontId="5" fillId="0" borderId="0" xfId="2" applyFont="1"/>
    <xf numFmtId="0" fontId="5" fillId="0" borderId="0" xfId="2" applyFont="1" applyProtection="1">
      <protection locked="0"/>
    </xf>
    <xf numFmtId="49" fontId="5" fillId="0" borderId="0" xfId="2" applyNumberFormat="1" applyFont="1" applyProtection="1">
      <protection locked="0"/>
    </xf>
    <xf numFmtId="0" fontId="5" fillId="0" borderId="0" xfId="1" applyFont="1"/>
    <xf numFmtId="0" fontId="5" fillId="0" borderId="0" xfId="1" applyFont="1" applyAlignment="1">
      <alignment horizontal="center"/>
    </xf>
    <xf numFmtId="164" fontId="5" fillId="0" borderId="0" xfId="1" applyNumberFormat="1" applyFont="1"/>
    <xf numFmtId="0" fontId="3" fillId="0" borderId="0" xfId="1" applyFont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65" fontId="3" fillId="0" borderId="0" xfId="2" applyNumberFormat="1" applyFont="1"/>
    <xf numFmtId="49" fontId="5" fillId="0" borderId="0" xfId="2" applyNumberFormat="1" applyFont="1"/>
    <xf numFmtId="0" fontId="3" fillId="0" borderId="0" xfId="2" applyFont="1" applyAlignment="1" applyProtection="1">
      <alignment horizontal="left" wrapText="1" indent="1"/>
      <protection locked="0"/>
    </xf>
    <xf numFmtId="49" fontId="5" fillId="0" borderId="0" xfId="2" applyNumberFormat="1" applyFont="1" applyAlignment="1" applyProtection="1">
      <alignment horizontal="left" wrapText="1" indent="1"/>
      <protection locked="0"/>
    </xf>
    <xf numFmtId="0" fontId="5" fillId="0" borderId="0" xfId="2" quotePrefix="1" applyFont="1" applyAlignment="1" applyProtection="1">
      <alignment horizontal="center"/>
      <protection locked="0"/>
    </xf>
    <xf numFmtId="0" fontId="5" fillId="0" borderId="0" xfId="2" quotePrefix="1" applyFont="1" applyAlignment="1" applyProtection="1">
      <alignment horizontal="left"/>
      <protection locked="0"/>
    </xf>
    <xf numFmtId="164" fontId="5" fillId="0" borderId="0" xfId="3" applyNumberFormat="1" applyFont="1" applyFill="1"/>
    <xf numFmtId="164" fontId="5" fillId="0" borderId="0" xfId="2" applyNumberFormat="1" applyFont="1" applyAlignment="1" applyProtection="1">
      <alignment horizontal="center"/>
      <protection locked="0"/>
    </xf>
    <xf numFmtId="164" fontId="5" fillId="0" borderId="0" xfId="4" applyNumberFormat="1" applyFont="1" applyFill="1" applyProtection="1">
      <protection locked="0"/>
    </xf>
    <xf numFmtId="164" fontId="5" fillId="0" borderId="0" xfId="2" applyNumberFormat="1" applyFont="1" applyAlignment="1" applyProtection="1">
      <alignment horizontal="right"/>
      <protection locked="0"/>
    </xf>
    <xf numFmtId="164" fontId="5" fillId="0" borderId="0" xfId="4" applyNumberFormat="1" applyFont="1" applyFill="1" applyProtection="1"/>
    <xf numFmtId="164" fontId="5" fillId="0" borderId="0" xfId="2" applyNumberFormat="1" applyFont="1" applyAlignment="1">
      <alignment horizontal="right"/>
    </xf>
    <xf numFmtId="0" fontId="3" fillId="0" borderId="0" xfId="2" applyFont="1" applyAlignment="1">
      <alignment horizontal="left" indent="1"/>
    </xf>
    <xf numFmtId="165" fontId="5" fillId="0" borderId="0" xfId="2" quotePrefix="1" applyNumberFormat="1" applyFont="1" applyAlignment="1">
      <alignment horizontal="center"/>
    </xf>
    <xf numFmtId="0" fontId="5" fillId="0" borderId="0" xfId="2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5" fillId="0" borderId="0" xfId="2" applyNumberFormat="1" applyFont="1"/>
    <xf numFmtId="164" fontId="5" fillId="0" borderId="0" xfId="4" applyNumberFormat="1" applyFont="1" applyFill="1"/>
    <xf numFmtId="0" fontId="3" fillId="0" borderId="0" xfId="2" applyFont="1" applyAlignment="1" applyProtection="1">
      <alignment horizontal="left" indent="1"/>
      <protection locked="0"/>
    </xf>
    <xf numFmtId="164" fontId="5" fillId="0" borderId="1" xfId="4" applyNumberFormat="1" applyFont="1" applyFill="1" applyBorder="1" applyProtection="1">
      <protection locked="0"/>
    </xf>
    <xf numFmtId="164" fontId="5" fillId="0" borderId="1" xfId="4" applyNumberFormat="1" applyFont="1" applyFill="1" applyBorder="1" applyProtection="1"/>
    <xf numFmtId="0" fontId="3" fillId="0" borderId="0" xfId="2" applyFont="1" applyAlignment="1">
      <alignment horizontal="left" indent="3"/>
    </xf>
    <xf numFmtId="49" fontId="5" fillId="0" borderId="0" xfId="2" applyNumberFormat="1" applyFont="1" applyAlignment="1">
      <alignment horizontal="left" indent="3"/>
    </xf>
    <xf numFmtId="164" fontId="5" fillId="0" borderId="2" xfId="4" applyNumberFormat="1" applyFont="1" applyFill="1" applyBorder="1" applyProtection="1"/>
    <xf numFmtId="0" fontId="3" fillId="0" borderId="0" xfId="2" applyFont="1" applyProtection="1">
      <protection locked="0"/>
    </xf>
    <xf numFmtId="0" fontId="5" fillId="0" borderId="0" xfId="2" applyFont="1" applyAlignment="1" applyProtection="1">
      <alignment horizontal="right"/>
      <protection locked="0"/>
    </xf>
    <xf numFmtId="165" fontId="3" fillId="0" borderId="0" xfId="2" applyNumberFormat="1" applyFont="1" applyAlignment="1" applyProtection="1">
      <alignment horizontal="left" indent="1"/>
      <protection locked="0"/>
    </xf>
    <xf numFmtId="49" fontId="5" fillId="0" borderId="0" xfId="2" applyNumberFormat="1" applyFont="1" applyAlignment="1" applyProtection="1">
      <alignment horizontal="left" indent="1"/>
      <protection locked="0"/>
    </xf>
    <xf numFmtId="0" fontId="5" fillId="0" borderId="0" xfId="2" applyFont="1" applyAlignment="1" applyProtection="1">
      <alignment horizontal="left" indent="2"/>
      <protection locked="0"/>
    </xf>
    <xf numFmtId="49" fontId="5" fillId="0" borderId="0" xfId="2" applyNumberFormat="1" applyFont="1" applyAlignment="1" applyProtection="1">
      <alignment horizontal="left" indent="2"/>
      <protection locked="0"/>
    </xf>
    <xf numFmtId="41" fontId="5" fillId="0" borderId="0" xfId="4" applyNumberFormat="1" applyFont="1" applyFill="1" applyProtection="1">
      <protection locked="0"/>
    </xf>
    <xf numFmtId="41" fontId="5" fillId="0" borderId="0" xfId="4" applyNumberFormat="1" applyFont="1" applyFill="1" applyProtection="1"/>
    <xf numFmtId="0" fontId="5" fillId="0" borderId="0" xfId="2" applyFont="1" applyAlignment="1">
      <alignment horizontal="left" indent="2"/>
    </xf>
    <xf numFmtId="49" fontId="5" fillId="0" borderId="0" xfId="2" applyNumberFormat="1" applyFont="1" applyAlignment="1">
      <alignment horizontal="left" indent="2"/>
    </xf>
    <xf numFmtId="41" fontId="5" fillId="0" borderId="0" xfId="4" applyNumberFormat="1" applyFont="1" applyFill="1" applyBorder="1" applyProtection="1">
      <protection locked="0"/>
    </xf>
    <xf numFmtId="41" fontId="5" fillId="0" borderId="0" xfId="4" applyNumberFormat="1" applyFont="1" applyFill="1" applyBorder="1" applyProtection="1"/>
    <xf numFmtId="0" fontId="3" fillId="0" borderId="0" xfId="2" applyFont="1" applyAlignment="1" applyProtection="1">
      <alignment horizontal="left" indent="2"/>
      <protection locked="0"/>
    </xf>
    <xf numFmtId="41" fontId="5" fillId="0" borderId="3" xfId="4" applyNumberFormat="1" applyFont="1" applyFill="1" applyBorder="1" applyProtection="1"/>
    <xf numFmtId="0" fontId="0" fillId="0" borderId="0" xfId="0" applyAlignment="1">
      <alignment horizontal="center"/>
    </xf>
    <xf numFmtId="164" fontId="5" fillId="0" borderId="0" xfId="4" applyNumberFormat="1" applyFont="1" applyFill="1" applyAlignment="1">
      <alignment horizontal="center"/>
    </xf>
    <xf numFmtId="0" fontId="5" fillId="0" borderId="0" xfId="2" applyFont="1" applyAlignment="1">
      <alignment horizontal="center" vertical="top"/>
    </xf>
    <xf numFmtId="0" fontId="5" fillId="0" borderId="0" xfId="2" quotePrefix="1" applyFont="1" applyAlignment="1">
      <alignment horizontal="center"/>
    </xf>
    <xf numFmtId="49" fontId="5" fillId="0" borderId="0" xfId="2" applyNumberFormat="1" applyFont="1" applyAlignment="1">
      <alignment horizontal="left" indent="1"/>
    </xf>
    <xf numFmtId="0" fontId="5" fillId="0" borderId="0" xfId="2" applyFont="1" applyAlignment="1">
      <alignment horizontal="left"/>
    </xf>
    <xf numFmtId="164" fontId="5" fillId="0" borderId="0" xfId="4" applyNumberFormat="1" applyFont="1" applyFill="1" applyBorder="1"/>
    <xf numFmtId="0" fontId="3" fillId="0" borderId="0" xfId="2" applyFont="1" applyAlignment="1" applyProtection="1">
      <alignment horizontal="left" indent="3"/>
      <protection locked="0"/>
    </xf>
    <xf numFmtId="49" fontId="5" fillId="0" borderId="0" xfId="2" applyNumberFormat="1" applyFont="1" applyAlignment="1" applyProtection="1">
      <alignment horizontal="left" indent="3"/>
      <protection locked="0"/>
    </xf>
    <xf numFmtId="164" fontId="5" fillId="0" borderId="4" xfId="4" applyNumberFormat="1" applyFont="1" applyFill="1" applyBorder="1" applyProtection="1"/>
    <xf numFmtId="164" fontId="5" fillId="0" borderId="0" xfId="5" applyNumberFormat="1" applyFont="1" applyFill="1" applyBorder="1" applyProtection="1"/>
    <xf numFmtId="0" fontId="8" fillId="0" borderId="0" xfId="2" applyFont="1"/>
    <xf numFmtId="49" fontId="0" fillId="0" borderId="0" xfId="0" applyNumberFormat="1"/>
    <xf numFmtId="0" fontId="0" fillId="0" borderId="0" xfId="0" applyAlignment="1">
      <alignment horizontal="left"/>
    </xf>
    <xf numFmtId="49" fontId="5" fillId="0" borderId="0" xfId="2" applyNumberFormat="1" applyFont="1" applyAlignment="1">
      <alignment horizontal="centerContinuous"/>
    </xf>
    <xf numFmtId="164" fontId="5" fillId="0" borderId="0" xfId="2" applyNumberFormat="1" applyFont="1" applyAlignment="1">
      <alignment horizontal="centerContinuous"/>
    </xf>
    <xf numFmtId="41" fontId="5" fillId="0" borderId="0" xfId="2" applyNumberFormat="1" applyFont="1" applyAlignment="1">
      <alignment horizontal="centerContinuous"/>
    </xf>
    <xf numFmtId="0" fontId="6" fillId="0" borderId="0" xfId="2" applyFont="1" applyAlignment="1">
      <alignment horizontal="center"/>
    </xf>
    <xf numFmtId="0" fontId="5" fillId="0" borderId="1" xfId="2" applyFont="1" applyBorder="1"/>
    <xf numFmtId="49" fontId="5" fillId="0" borderId="1" xfId="2" applyNumberFormat="1" applyFont="1" applyBorder="1"/>
    <xf numFmtId="41" fontId="5" fillId="0" borderId="0" xfId="2" applyNumberFormat="1" applyFont="1"/>
    <xf numFmtId="0" fontId="3" fillId="0" borderId="5" xfId="2" applyFont="1" applyBorder="1" applyAlignment="1">
      <alignment horizontal="center"/>
    </xf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164" fontId="5" fillId="0" borderId="5" xfId="1" applyNumberFormat="1" applyFont="1" applyBorder="1"/>
    <xf numFmtId="0" fontId="3" fillId="0" borderId="5" xfId="1" applyFont="1" applyBorder="1" applyAlignment="1">
      <alignment horizontal="center"/>
    </xf>
    <xf numFmtId="0" fontId="3" fillId="0" borderId="0" xfId="2" applyFont="1" applyAlignment="1">
      <alignment horizontal="left" wrapText="1" indent="1"/>
    </xf>
    <xf numFmtId="49" fontId="5" fillId="0" borderId="0" xfId="2" applyNumberFormat="1" applyFont="1" applyAlignment="1">
      <alignment horizontal="left" wrapText="1" indent="1"/>
    </xf>
    <xf numFmtId="0" fontId="5" fillId="0" borderId="0" xfId="2" quotePrefix="1" applyFont="1" applyAlignment="1">
      <alignment horizontal="left"/>
    </xf>
    <xf numFmtId="0" fontId="5" fillId="0" borderId="0" xfId="4" applyNumberFormat="1" applyFont="1" applyFill="1" applyAlignment="1">
      <alignment horizontal="center"/>
    </xf>
    <xf numFmtId="164" fontId="5" fillId="0" borderId="0" xfId="4" applyNumberFormat="1" applyFont="1" applyFill="1" applyAlignment="1">
      <alignment horizontal="right"/>
    </xf>
    <xf numFmtId="164" fontId="5" fillId="0" borderId="1" xfId="4" applyNumberFormat="1" applyFont="1" applyFill="1" applyBorder="1"/>
    <xf numFmtId="164" fontId="5" fillId="0" borderId="2" xfId="4" applyNumberFormat="1" applyFont="1" applyFill="1" applyBorder="1"/>
    <xf numFmtId="0" fontId="3" fillId="0" borderId="0" xfId="2" applyFont="1"/>
    <xf numFmtId="165" fontId="3" fillId="0" borderId="0" xfId="2" applyNumberFormat="1" applyFont="1" applyAlignment="1">
      <alignment horizontal="left" indent="1"/>
    </xf>
    <xf numFmtId="41" fontId="5" fillId="0" borderId="1" xfId="4" applyNumberFormat="1" applyFont="1" applyFill="1" applyBorder="1"/>
    <xf numFmtId="0" fontId="3" fillId="0" borderId="0" xfId="2" applyFont="1" applyAlignment="1">
      <alignment horizontal="left" indent="2"/>
    </xf>
    <xf numFmtId="41" fontId="5" fillId="0" borderId="4" xfId="4" applyNumberFormat="1" applyFont="1" applyFill="1" applyBorder="1"/>
    <xf numFmtId="0" fontId="3" fillId="0" borderId="0" xfId="6" applyFont="1" applyAlignment="1">
      <alignment horizontal="left" indent="1"/>
    </xf>
    <xf numFmtId="0" fontId="5" fillId="0" borderId="0" xfId="6" quotePrefix="1" applyFont="1" applyAlignment="1">
      <alignment horizontal="center"/>
    </xf>
    <xf numFmtId="164" fontId="10" fillId="0" borderId="0" xfId="4" applyNumberFormat="1" applyFont="1" applyFill="1" applyAlignment="1">
      <alignment horizontal="right"/>
    </xf>
    <xf numFmtId="164" fontId="5" fillId="0" borderId="0" xfId="4" applyNumberFormat="1" applyFont="1" applyFill="1" applyBorder="1" applyAlignment="1">
      <alignment horizontal="center"/>
    </xf>
    <xf numFmtId="164" fontId="5" fillId="0" borderId="0" xfId="4" applyNumberFormat="1" applyFont="1" applyFill="1" applyBorder="1" applyAlignment="1">
      <alignment horizontal="right"/>
    </xf>
    <xf numFmtId="164" fontId="5" fillId="0" borderId="4" xfId="4" applyNumberFormat="1" applyFont="1" applyFill="1" applyBorder="1"/>
    <xf numFmtId="0" fontId="5" fillId="0" borderId="1" xfId="2" applyFont="1" applyBorder="1" applyAlignment="1">
      <alignment horizontal="center"/>
    </xf>
    <xf numFmtId="164" fontId="5" fillId="0" borderId="1" xfId="2" applyNumberFormat="1" applyFont="1" applyBorder="1"/>
    <xf numFmtId="0" fontId="5" fillId="0" borderId="0" xfId="4" applyNumberFormat="1" applyFont="1" applyFill="1" applyAlignment="1">
      <alignment horizontal="right"/>
    </xf>
    <xf numFmtId="164" fontId="5" fillId="0" borderId="0" xfId="4" quotePrefix="1" applyNumberFormat="1" applyFont="1" applyFill="1" applyAlignment="1">
      <alignment horizontal="center"/>
    </xf>
    <xf numFmtId="164" fontId="5" fillId="0" borderId="0" xfId="4" quotePrefix="1" applyNumberFormat="1" applyFont="1" applyFill="1" applyBorder="1" applyAlignment="1">
      <alignment horizontal="center"/>
    </xf>
    <xf numFmtId="0" fontId="5" fillId="0" borderId="1" xfId="2" applyFont="1" applyBorder="1" applyAlignment="1">
      <alignment horizontal="centerContinuous"/>
    </xf>
    <xf numFmtId="49" fontId="5" fillId="0" borderId="1" xfId="2" applyNumberFormat="1" applyFont="1" applyBorder="1" applyAlignment="1">
      <alignment horizontal="centerContinuous"/>
    </xf>
    <xf numFmtId="0" fontId="5" fillId="0" borderId="1" xfId="2" applyFont="1" applyBorder="1" applyAlignment="1">
      <alignment horizontal="left"/>
    </xf>
    <xf numFmtId="164" fontId="5" fillId="0" borderId="1" xfId="2" applyNumberFormat="1" applyFont="1" applyBorder="1" applyAlignment="1">
      <alignment horizontal="centerContinuous"/>
    </xf>
    <xf numFmtId="41" fontId="5" fillId="0" borderId="0" xfId="2" applyNumberFormat="1" applyFont="1" applyAlignment="1">
      <alignment horizontal="center"/>
    </xf>
    <xf numFmtId="0" fontId="11" fillId="0" borderId="0" xfId="2" applyFont="1" applyAlignment="1">
      <alignment horizontal="center"/>
    </xf>
    <xf numFmtId="41" fontId="5" fillId="0" borderId="0" xfId="2" applyNumberFormat="1" applyFont="1" applyAlignment="1">
      <alignment horizontal="right"/>
    </xf>
    <xf numFmtId="164" fontId="5" fillId="0" borderId="0" xfId="4" quotePrefix="1" applyNumberFormat="1" applyFont="1" applyFill="1" applyAlignment="1">
      <alignment horizontal="right"/>
    </xf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left"/>
    </xf>
    <xf numFmtId="164" fontId="5" fillId="0" borderId="0" xfId="4" applyNumberFormat="1" applyFont="1"/>
    <xf numFmtId="164" fontId="5" fillId="0" borderId="1" xfId="4" applyNumberFormat="1" applyFont="1" applyBorder="1"/>
    <xf numFmtId="41" fontId="5" fillId="0" borderId="0" xfId="4" applyNumberFormat="1" applyFont="1" applyFill="1" applyAlignment="1" applyProtection="1">
      <alignment horizontal="center"/>
      <protection locked="0"/>
    </xf>
    <xf numFmtId="41" fontId="5" fillId="0" borderId="0" xfId="4" applyNumberFormat="1" applyFont="1" applyFill="1"/>
    <xf numFmtId="41" fontId="5" fillId="0" borderId="0" xfId="4" applyNumberFormat="1" applyFont="1" applyFill="1" applyAlignment="1">
      <alignment horizontal="center"/>
    </xf>
    <xf numFmtId="41" fontId="5" fillId="0" borderId="0" xfId="4" applyNumberFormat="1" applyFont="1" applyFill="1" applyBorder="1"/>
    <xf numFmtId="0" fontId="3" fillId="2" borderId="0" xfId="2" applyFont="1" applyFill="1" applyAlignment="1">
      <alignment horizontal="left" indent="3"/>
    </xf>
    <xf numFmtId="49" fontId="5" fillId="2" borderId="0" xfId="2" applyNumberFormat="1" applyFont="1" applyFill="1" applyAlignment="1">
      <alignment horizontal="left" indent="3"/>
    </xf>
    <xf numFmtId="164" fontId="5" fillId="0" borderId="3" xfId="4" applyNumberFormat="1" applyFont="1" applyFill="1" applyBorder="1"/>
    <xf numFmtId="0" fontId="5" fillId="2" borderId="0" xfId="2" applyFont="1" applyFill="1" applyAlignment="1">
      <alignment horizontal="left" indent="3"/>
    </xf>
    <xf numFmtId="0" fontId="11" fillId="2" borderId="0" xfId="2" applyFont="1" applyFill="1" applyAlignment="1">
      <alignment horizontal="center"/>
    </xf>
    <xf numFmtId="0" fontId="5" fillId="0" borderId="0" xfId="2" applyFont="1" applyAlignment="1">
      <alignment horizontal="left" indent="3"/>
    </xf>
    <xf numFmtId="165" fontId="5" fillId="0" borderId="0" xfId="2" quotePrefix="1" applyNumberFormat="1" applyFont="1"/>
    <xf numFmtId="165" fontId="5" fillId="0" borderId="0" xfId="2" quotePrefix="1" applyNumberFormat="1" applyFont="1" applyAlignment="1">
      <alignment horizontal="left"/>
    </xf>
    <xf numFmtId="164" fontId="5" fillId="0" borderId="0" xfId="4" applyNumberFormat="1" applyFont="1" applyAlignment="1">
      <alignment horizontal="center"/>
    </xf>
    <xf numFmtId="0" fontId="5" fillId="0" borderId="0" xfId="2" applyFont="1" applyAlignment="1">
      <alignment horizontal="right"/>
    </xf>
    <xf numFmtId="164" fontId="5" fillId="0" borderId="2" xfId="4" applyNumberFormat="1" applyFont="1" applyBorder="1"/>
    <xf numFmtId="164" fontId="5" fillId="0" borderId="0" xfId="4" quotePrefix="1" applyNumberFormat="1" applyFont="1" applyAlignment="1">
      <alignment horizontal="center"/>
    </xf>
    <xf numFmtId="164" fontId="5" fillId="0" borderId="0" xfId="4" applyNumberFormat="1" applyFont="1" applyBorder="1" applyAlignment="1">
      <alignment horizontal="center"/>
    </xf>
    <xf numFmtId="164" fontId="5" fillId="0" borderId="0" xfId="4" applyNumberFormat="1" applyFont="1" applyBorder="1"/>
    <xf numFmtId="164" fontId="5" fillId="0" borderId="4" xfId="4" applyNumberFormat="1" applyFont="1" applyBorder="1"/>
    <xf numFmtId="41" fontId="5" fillId="0" borderId="3" xfId="4" applyNumberFormat="1" applyFont="1" applyFill="1" applyBorder="1"/>
    <xf numFmtId="164" fontId="3" fillId="0" borderId="0" xfId="5" quotePrefix="1" applyNumberFormat="1" applyFont="1"/>
    <xf numFmtId="49" fontId="5" fillId="0" borderId="0" xfId="5" quotePrefix="1" applyNumberFormat="1" applyFont="1"/>
    <xf numFmtId="164" fontId="15" fillId="0" borderId="0" xfId="5" applyNumberFormat="1" applyFont="1"/>
    <xf numFmtId="164" fontId="15" fillId="0" borderId="0" xfId="5" applyNumberFormat="1" applyFont="1" applyAlignment="1">
      <alignment horizontal="left"/>
    </xf>
    <xf numFmtId="164" fontId="5" fillId="0" borderId="0" xfId="5" applyNumberFormat="1" applyFont="1" applyAlignment="1">
      <alignment horizontal="center"/>
    </xf>
    <xf numFmtId="164" fontId="5" fillId="2" borderId="0" xfId="5" quotePrefix="1" applyNumberFormat="1" applyFont="1" applyFill="1" applyAlignment="1">
      <alignment horizontal="right"/>
    </xf>
    <xf numFmtId="0" fontId="3" fillId="2" borderId="0" xfId="7" applyFont="1" applyFill="1" applyAlignment="1">
      <alignment horizontal="left" indent="3"/>
    </xf>
    <xf numFmtId="49" fontId="5" fillId="2" borderId="0" xfId="7" applyNumberFormat="1" applyFont="1" applyFill="1" applyAlignment="1">
      <alignment horizontal="left" indent="3"/>
    </xf>
    <xf numFmtId="0" fontId="15" fillId="2" borderId="0" xfId="7" applyFont="1" applyFill="1"/>
    <xf numFmtId="0" fontId="15" fillId="2" borderId="0" xfId="7" applyFont="1" applyFill="1" applyAlignment="1">
      <alignment horizontal="left"/>
    </xf>
    <xf numFmtId="0" fontId="5" fillId="2" borderId="0" xfId="7" applyFont="1" applyFill="1" applyAlignment="1">
      <alignment horizontal="center"/>
    </xf>
    <xf numFmtId="164" fontId="5" fillId="2" borderId="2" xfId="5" applyNumberFormat="1" applyFont="1" applyFill="1" applyBorder="1"/>
    <xf numFmtId="164" fontId="5" fillId="2" borderId="0" xfId="7" applyNumberFormat="1" applyFont="1" applyFill="1" applyAlignment="1">
      <alignment horizontal="center"/>
    </xf>
    <xf numFmtId="37" fontId="5" fillId="0" borderId="0" xfId="2" applyNumberFormat="1" applyFont="1"/>
    <xf numFmtId="0" fontId="16" fillId="0" borderId="0" xfId="2" applyFont="1" applyAlignment="1">
      <alignment vertical="top"/>
    </xf>
    <xf numFmtId="0" fontId="16" fillId="0" borderId="0" xfId="2" applyFont="1" applyAlignment="1">
      <alignment horizontal="center" vertical="top"/>
    </xf>
    <xf numFmtId="4" fontId="16" fillId="0" borderId="0" xfId="2" applyNumberFormat="1" applyFont="1" applyAlignment="1">
      <alignment horizontal="center" vertical="top"/>
    </xf>
    <xf numFmtId="0" fontId="3" fillId="0" borderId="0" xfId="2" applyFont="1" applyAlignment="1">
      <alignment horizontal="center"/>
    </xf>
    <xf numFmtId="0" fontId="17" fillId="0" borderId="0" xfId="2" applyFont="1"/>
    <xf numFmtId="0" fontId="3" fillId="0" borderId="1" xfId="2" applyFont="1" applyBorder="1" applyAlignment="1">
      <alignment horizontal="center"/>
    </xf>
    <xf numFmtId="0" fontId="3" fillId="0" borderId="0" xfId="2" applyFont="1" applyAlignment="1">
      <alignment horizontal="centerContinuous"/>
    </xf>
    <xf numFmtId="0" fontId="3" fillId="2" borderId="1" xfId="2" applyFont="1" applyFill="1" applyBorder="1" applyAlignment="1">
      <alignment horizontal="center"/>
    </xf>
    <xf numFmtId="0" fontId="3" fillId="0" borderId="1" xfId="2" applyFont="1" applyBorder="1" applyAlignment="1" applyProtection="1">
      <alignment horizontal="center"/>
      <protection locked="0"/>
    </xf>
    <xf numFmtId="14" fontId="3" fillId="0" borderId="1" xfId="2" applyNumberFormat="1" applyFont="1" applyBorder="1" applyAlignment="1">
      <alignment horizontal="center"/>
    </xf>
    <xf numFmtId="0" fontId="5" fillId="0" borderId="0" xfId="2" applyFont="1" applyAlignment="1">
      <alignment horizontal="left" indent="1"/>
    </xf>
    <xf numFmtId="0" fontId="5" fillId="0" borderId="0" xfId="7" applyFont="1" applyAlignment="1">
      <alignment horizontal="left"/>
    </xf>
    <xf numFmtId="164" fontId="4" fillId="0" borderId="0" xfId="4" applyNumberFormat="1"/>
    <xf numFmtId="37" fontId="5" fillId="0" borderId="0" xfId="8" applyFont="1" applyAlignment="1">
      <alignment horizontal="left" indent="1"/>
    </xf>
    <xf numFmtId="0" fontId="3" fillId="0" borderId="0" xfId="2" applyFont="1" applyAlignment="1">
      <alignment vertical="center"/>
    </xf>
    <xf numFmtId="164" fontId="5" fillId="0" borderId="0" xfId="4" applyNumberFormat="1" applyFont="1" applyAlignment="1" applyProtection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left" vertical="center" indent="1"/>
    </xf>
    <xf numFmtId="164" fontId="5" fillId="0" borderId="6" xfId="4" applyNumberFormat="1" applyFont="1" applyBorder="1" applyAlignment="1" applyProtection="1">
      <alignment horizontal="center" vertical="center"/>
    </xf>
    <xf numFmtId="164" fontId="5" fillId="0" borderId="0" xfId="4" applyNumberFormat="1" applyFont="1" applyBorder="1" applyAlignment="1" applyProtection="1">
      <alignment horizontal="center" vertical="center"/>
    </xf>
    <xf numFmtId="164" fontId="5" fillId="0" borderId="7" xfId="4" applyNumberFormat="1" applyFont="1" applyBorder="1" applyAlignment="1" applyProtection="1">
      <alignment horizontal="center"/>
    </xf>
    <xf numFmtId="164" fontId="5" fillId="0" borderId="0" xfId="4" quotePrefix="1" applyNumberFormat="1" applyFont="1" applyBorder="1" applyAlignment="1">
      <alignment horizontal="center"/>
    </xf>
    <xf numFmtId="0" fontId="5" fillId="0" borderId="0" xfId="2" quotePrefix="1" applyFont="1"/>
    <xf numFmtId="164" fontId="5" fillId="0" borderId="0" xfId="4" quotePrefix="1" applyNumberFormat="1" applyFont="1" applyBorder="1" applyAlignment="1">
      <alignment horizontal="right"/>
    </xf>
    <xf numFmtId="0" fontId="11" fillId="0" borderId="0" xfId="2" applyFont="1"/>
    <xf numFmtId="49" fontId="5" fillId="0" borderId="0" xfId="2" applyNumberFormat="1" applyFont="1" applyAlignment="1">
      <alignment horizontal="center"/>
    </xf>
    <xf numFmtId="41" fontId="5" fillId="2" borderId="0" xfId="4" applyNumberFormat="1" applyFont="1" applyFill="1"/>
    <xf numFmtId="41" fontId="5" fillId="2" borderId="0" xfId="4" applyNumberFormat="1" applyFont="1" applyFill="1" applyAlignment="1">
      <alignment horizontal="center"/>
    </xf>
    <xf numFmtId="0" fontId="11" fillId="0" borderId="0" xfId="2" applyFont="1" applyAlignment="1">
      <alignment horizontal="right"/>
    </xf>
    <xf numFmtId="41" fontId="5" fillId="0" borderId="2" xfId="4" applyNumberFormat="1" applyFont="1" applyFill="1" applyBorder="1"/>
    <xf numFmtId="165" fontId="5" fillId="0" borderId="0" xfId="2" applyNumberFormat="1" applyFont="1" applyAlignment="1">
      <alignment horizontal="center"/>
    </xf>
    <xf numFmtId="1" fontId="5" fillId="0" borderId="0" xfId="2" applyNumberFormat="1" applyFont="1"/>
    <xf numFmtId="1" fontId="5" fillId="0" borderId="0" xfId="2" applyNumberFormat="1" applyFont="1" applyAlignment="1">
      <alignment vertical="top"/>
    </xf>
    <xf numFmtId="49" fontId="5" fillId="0" borderId="0" xfId="2" applyNumberFormat="1" applyFont="1" applyAlignment="1">
      <alignment vertical="top"/>
    </xf>
    <xf numFmtId="1" fontId="5" fillId="0" borderId="0" xfId="2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164" fontId="11" fillId="0" borderId="0" xfId="4" quotePrefix="1" applyNumberFormat="1" applyFont="1" applyFill="1" applyAlignment="1">
      <alignment horizontal="center"/>
    </xf>
    <xf numFmtId="0" fontId="3" fillId="0" borderId="0" xfId="2" quotePrefix="1" applyFont="1"/>
    <xf numFmtId="49" fontId="5" fillId="0" borderId="0" xfId="2" quotePrefix="1" applyNumberFormat="1" applyFont="1"/>
    <xf numFmtId="164" fontId="5" fillId="3" borderId="0" xfId="4" quotePrefix="1" applyNumberFormat="1" applyFont="1" applyFill="1" applyAlignment="1">
      <alignment horizontal="center"/>
    </xf>
    <xf numFmtId="0" fontId="5" fillId="3" borderId="0" xfId="2" applyFont="1" applyFill="1"/>
    <xf numFmtId="164" fontId="5" fillId="3" borderId="0" xfId="2" applyNumberFormat="1" applyFont="1" applyFill="1"/>
    <xf numFmtId="0" fontId="3" fillId="0" borderId="0" xfId="2" quotePrefix="1" applyFont="1" applyAlignment="1">
      <alignment horizontal="left"/>
    </xf>
    <xf numFmtId="1" fontId="5" fillId="0" borderId="0" xfId="2" applyNumberFormat="1" applyFont="1" applyAlignment="1">
      <alignment horizontal="centerContinuous"/>
    </xf>
    <xf numFmtId="1" fontId="6" fillId="0" borderId="0" xfId="2" applyNumberFormat="1" applyFont="1" applyAlignment="1">
      <alignment horizontal="center"/>
    </xf>
    <xf numFmtId="1" fontId="5" fillId="0" borderId="1" xfId="2" applyNumberFormat="1" applyFont="1" applyBorder="1"/>
    <xf numFmtId="1" fontId="5" fillId="0" borderId="0" xfId="2" quotePrefix="1" applyNumberFormat="1" applyFont="1" applyAlignment="1">
      <alignment horizontal="center"/>
    </xf>
    <xf numFmtId="1" fontId="5" fillId="0" borderId="0" xfId="2" quotePrefix="1" applyNumberFormat="1" applyFont="1" applyAlignment="1">
      <alignment horizontal="left"/>
    </xf>
    <xf numFmtId="1" fontId="3" fillId="0" borderId="0" xfId="2" applyNumberFormat="1" applyFont="1"/>
    <xf numFmtId="1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left"/>
    </xf>
    <xf numFmtId="0" fontId="4" fillId="0" borderId="1" xfId="2" applyBorder="1"/>
    <xf numFmtId="41" fontId="5" fillId="0" borderId="0" xfId="4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41" fontId="5" fillId="2" borderId="0" xfId="4" applyNumberFormat="1" applyFont="1" applyFill="1" applyBorder="1"/>
    <xf numFmtId="41" fontId="5" fillId="0" borderId="0" xfId="4" applyNumberFormat="1" applyFont="1" applyBorder="1"/>
    <xf numFmtId="41" fontId="5" fillId="0" borderId="2" xfId="4" applyNumberFormat="1" applyFont="1" applyBorder="1"/>
    <xf numFmtId="14" fontId="3" fillId="0" borderId="0" xfId="2" applyNumberFormat="1" applyFont="1" applyAlignment="1">
      <alignment horizontal="center"/>
    </xf>
    <xf numFmtId="41" fontId="5" fillId="2" borderId="1" xfId="4" applyNumberFormat="1" applyFont="1" applyFill="1" applyBorder="1"/>
    <xf numFmtId="41" fontId="5" fillId="0" borderId="1" xfId="4" applyNumberFormat="1" applyFont="1" applyBorder="1"/>
    <xf numFmtId="41" fontId="5" fillId="0" borderId="0" xfId="4" applyNumberFormat="1" applyFont="1" applyAlignment="1" applyProtection="1">
      <alignment horizontal="center"/>
    </xf>
    <xf numFmtId="164" fontId="5" fillId="0" borderId="0" xfId="4" applyNumberFormat="1" applyFont="1" applyAlignment="1" applyProtection="1">
      <alignment horizontal="right"/>
    </xf>
    <xf numFmtId="164" fontId="5" fillId="0" borderId="0" xfId="4" applyNumberFormat="1" applyFont="1" applyAlignment="1" applyProtection="1">
      <alignment horizontal="center"/>
    </xf>
    <xf numFmtId="164" fontId="5" fillId="0" borderId="0" xfId="4" applyNumberFormat="1" applyFont="1" applyAlignment="1" applyProtection="1">
      <alignment horizontal="right" vertical="center"/>
    </xf>
    <xf numFmtId="41" fontId="5" fillId="0" borderId="6" xfId="4" applyNumberFormat="1" applyFont="1" applyBorder="1" applyAlignment="1" applyProtection="1">
      <alignment horizontal="center" vertical="center"/>
    </xf>
    <xf numFmtId="41" fontId="5" fillId="0" borderId="0" xfId="4" applyNumberFormat="1" applyFont="1" applyAlignment="1" applyProtection="1">
      <alignment horizontal="center" vertical="center"/>
    </xf>
    <xf numFmtId="41" fontId="5" fillId="0" borderId="0" xfId="4" applyNumberFormat="1" applyFont="1" applyBorder="1" applyAlignment="1" applyProtection="1">
      <alignment horizontal="center" vertical="center"/>
    </xf>
    <xf numFmtId="41" fontId="5" fillId="0" borderId="7" xfId="4" applyNumberFormat="1" applyFont="1" applyBorder="1" applyAlignment="1" applyProtection="1">
      <alignment horizontal="center"/>
    </xf>
    <xf numFmtId="41" fontId="5" fillId="0" borderId="0" xfId="4" applyNumberFormat="1" applyFont="1" applyBorder="1" applyAlignment="1" applyProtection="1">
      <alignment horizontal="center"/>
    </xf>
    <xf numFmtId="0" fontId="3" fillId="0" borderId="0" xfId="2" applyFont="1" applyFill="1" applyBorder="1" applyAlignment="1">
      <alignment horizontal="center"/>
    </xf>
    <xf numFmtId="164" fontId="5" fillId="4" borderId="0" xfId="4" applyNumberFormat="1" applyFont="1" applyFill="1" applyProtection="1">
      <protection locked="0"/>
    </xf>
    <xf numFmtId="164" fontId="5" fillId="4" borderId="0" xfId="2" applyNumberFormat="1" applyFont="1" applyFill="1"/>
    <xf numFmtId="164" fontId="5" fillId="4" borderId="0" xfId="4" applyNumberFormat="1" applyFont="1" applyFill="1"/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4" fontId="5" fillId="4" borderId="0" xfId="4" applyNumberFormat="1" applyFont="1" applyFill="1" applyBorder="1"/>
    <xf numFmtId="164" fontId="5" fillId="4" borderId="0" xfId="4" quotePrefix="1" applyNumberFormat="1" applyFont="1" applyFill="1" applyAlignment="1">
      <alignment horizontal="center"/>
    </xf>
    <xf numFmtId="164" fontId="5" fillId="4" borderId="0" xfId="4" quotePrefix="1" applyNumberFormat="1" applyFont="1" applyFill="1" applyAlignment="1">
      <alignment horizontal="right"/>
    </xf>
    <xf numFmtId="164" fontId="5" fillId="4" borderId="0" xfId="4" applyNumberFormat="1" applyFont="1" applyFill="1" applyAlignment="1">
      <alignment horizontal="center"/>
    </xf>
    <xf numFmtId="41" fontId="5" fillId="4" borderId="0" xfId="4" applyNumberFormat="1" applyFont="1" applyFill="1" applyBorder="1"/>
  </cellXfs>
  <cellStyles count="9">
    <cellStyle name="Comma 2 2" xfId="4" xr:uid="{7FD34E4A-C0E1-48B8-9298-1ABA42C41A0D}"/>
    <cellStyle name="Comma 2 3" xfId="5" xr:uid="{552BEFD6-9D56-4DDD-BAFA-7D01FA92A216}"/>
    <cellStyle name="Comma 3" xfId="3" xr:uid="{47EDFE19-1B04-4913-A195-3CC0316E14C0}"/>
    <cellStyle name="Normal" xfId="0" builtinId="0"/>
    <cellStyle name="Normal 3" xfId="2" xr:uid="{F1F4A3E0-08C3-4DCA-B46E-663A42A2A19A}"/>
    <cellStyle name="Normal 3 2" xfId="1" xr:uid="{3E55442B-09C8-4C61-83CA-3C92380DAB94}"/>
    <cellStyle name="Normal 3 6" xfId="6" xr:uid="{58A21220-9653-456E-BBCF-2DBD5C01F3FC}"/>
    <cellStyle name="Normal 4" xfId="7" xr:uid="{9EF69E84-185C-4F42-95C1-BA5D0115847C}"/>
    <cellStyle name="Normal 6" xfId="8" xr:uid="{4D153521-98D6-42BE-ADCE-975607ABA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\Budgets\Budget%202027\2.%20Budget\1.%20Master%20Budget\1.%202027%20Master%20Budget%20Schedule%20-%20WORKING%20DOCUMENT.xlsx" TargetMode="External"/><Relationship Id="rId1" Type="http://schemas.openxmlformats.org/officeDocument/2006/relationships/externalLinkPath" Target="/FI/Budgets/Budget%202027/2.%20Budget/1.%20Master%20Budget/1.%202027%20Master%20Budget%20Schedule%20-%20WORKING%20DOC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funds"/>
      <sheetName val="table 1"/>
      <sheetName val="table 2"/>
      <sheetName val="Budget Summary"/>
      <sheetName val="Notice of Proposed Tax Increase"/>
      <sheetName val="Notice of Budget Hearing"/>
      <sheetName val="Percent Increase"/>
      <sheetName val="Final"/>
      <sheetName val="Final Detailed Rev"/>
      <sheetName val="Projected Rev"/>
      <sheetName val="Final Detailed Exp"/>
      <sheetName val="Detailed Exp"/>
      <sheetName val="Projected Exp"/>
      <sheetName val="Admin Summary"/>
      <sheetName val="City Manager"/>
      <sheetName val="Legal Services"/>
      <sheetName val="City Clerk"/>
      <sheetName val="Human Res"/>
      <sheetName val="Accounting"/>
      <sheetName val="Procurement"/>
      <sheetName val="Revenue Collection"/>
      <sheetName val="Risk Mgt"/>
      <sheetName val="Central Lines"/>
      <sheetName val="160 Alta Fam"/>
      <sheetName val="Reserves"/>
      <sheetName val="Work comp"/>
      <sheetName val="Police Summary"/>
      <sheetName val="Admin-501"/>
      <sheetName val="Investigations-503"/>
      <sheetName val="Special Ops-504"/>
      <sheetName val="Ops-505"/>
      <sheetName val="Mgmt Supp-506"/>
      <sheetName val="2nd Dollar-507"/>
      <sheetName val="Prop&amp;Evid (050)"/>
      <sheetName val="Law Enf Trust 102"/>
      <sheetName val="Federal Trust (112)"/>
      <sheetName val="Impact Fee 310"/>
      <sheetName val="GM Summary"/>
      <sheetName val="701"/>
      <sheetName val="BFSD Summary"/>
      <sheetName val="1301 Code Enforce"/>
      <sheetName val="Bldg Inspection Fund"/>
      <sheetName val="1301 Bldg Inspection"/>
      <sheetName val="TCSI Summary"/>
      <sheetName val="1201 Admin"/>
      <sheetName val="1202 Events"/>
      <sheetName val="1204 Information Services"/>
      <sheetName val="1205 Library"/>
      <sheetName val="025 AS2I"/>
      <sheetName val="026 AGiL"/>
      <sheetName val="PW Summary"/>
      <sheetName val="GF 804"/>
      <sheetName val="Fund 401 Rev&amp;Exp Mgr Rec"/>
      <sheetName val="Fund 401 Detail Rev"/>
      <sheetName val="W&amp;S Oper 5-Yr"/>
      <sheetName val="WS 806"/>
      <sheetName val="WS 807"/>
      <sheetName val="WS 809"/>
      <sheetName val="WS 810"/>
      <sheetName val="WS 811"/>
      <sheetName val="WS 814"/>
      <sheetName val="WS 818"/>
      <sheetName val="WS 819"/>
      <sheetName val="Fund 402"/>
      <sheetName val="W&amp;S Cap 5-Yr"/>
      <sheetName val="Fund 405"/>
      <sheetName val="WTFF 5-Yr"/>
      <sheetName val="417 WS Connect"/>
      <sheetName val="W&amp;S Con Fee 5-Yr"/>
      <sheetName val="Fund 404 Rev&amp;Exp"/>
      <sheetName val="Refuse 5-Year CIP"/>
      <sheetName val="Refuse 801"/>
      <sheetName val="Fund 104 Rev&amp;Exp"/>
      <sheetName val="Stormwater Oper 5-Yr"/>
      <sheetName val="Strmwtr 830"/>
      <sheetName val="105 Strmwtr Capital Outlay "/>
      <sheetName val="Stormwater Cap 5-Yr"/>
      <sheetName val="317 StrmWtr Connect"/>
      <sheetName val="Stormwater Impact 5-Yr"/>
      <sheetName val="LSR Summary"/>
      <sheetName val=" 911 Admin"/>
      <sheetName val="912 Eastmonte"/>
      <sheetName val=" 913 Merrill"/>
      <sheetName val=" 914 Westmonte"/>
      <sheetName val="916 Alta Rec"/>
      <sheetName val="908 Brantley"/>
      <sheetName val="909 Lotus"/>
      <sheetName val="920 Park Rangers"/>
      <sheetName val="315 Rec Impact"/>
      <sheetName val="LSM Summary"/>
      <sheetName val="903 PLM&amp;O"/>
      <sheetName val="904 Fleet"/>
      <sheetName val="907 Facilities"/>
      <sheetName val="011 Tree Bank Fund"/>
      <sheetName val="115 Gas Tax"/>
      <sheetName val="130 Grant"/>
      <sheetName val="199 ARPA"/>
      <sheetName val="301 Cap Proj"/>
      <sheetName val="301 5-Year CIP"/>
      <sheetName val="303 Trans Imp"/>
      <sheetName val="323 2nd Gen"/>
      <sheetName val="324 3rd Gen"/>
      <sheetName val="328 County Projects"/>
      <sheetName val="330 4th Gen"/>
      <sheetName val="325 Neighborhood"/>
      <sheetName val="326 Mobility Fee"/>
      <sheetName val="Final Summary"/>
      <sheetName val="CIE Table 8.1"/>
      <sheetName val="Payroll Summary by Department"/>
      <sheetName val="Input Master"/>
      <sheetName val="Add Pay"/>
      <sheetName val="WC Payroll"/>
      <sheetName val="Risk Position Control"/>
      <sheetName val="EE Health-Reconciled"/>
      <sheetName val="ER Life-Reconciled"/>
      <sheetName val="Exec Invest"/>
      <sheetName val="Retirement Deduct- Reconciled"/>
      <sheetName val="WC Risk Rates"/>
      <sheetName val="Workers Comp Worksheet"/>
      <sheetName val="Pen Actuary ER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Fiscal Year 2026 / 2027 Annual Budget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8">
          <cell r="M8">
            <v>2027</v>
          </cell>
        </row>
        <row r="9">
          <cell r="G9">
            <v>2024</v>
          </cell>
          <cell r="I9">
            <v>2025</v>
          </cell>
          <cell r="K9">
            <v>2026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53">
          <cell r="C53">
            <v>1310577</v>
          </cell>
          <cell r="I53">
            <v>7800</v>
          </cell>
          <cell r="L53">
            <v>4800</v>
          </cell>
          <cell r="N53">
            <v>105597</v>
          </cell>
          <cell r="O53">
            <v>0</v>
          </cell>
          <cell r="P53">
            <v>182324</v>
          </cell>
          <cell r="Q53">
            <v>319500</v>
          </cell>
          <cell r="R53">
            <v>2476</v>
          </cell>
        </row>
        <row r="54">
          <cell r="C54">
            <v>603193</v>
          </cell>
          <cell r="I54">
            <v>11700</v>
          </cell>
          <cell r="K54">
            <v>2400</v>
          </cell>
          <cell r="L54">
            <v>1200</v>
          </cell>
          <cell r="N54">
            <v>47253</v>
          </cell>
          <cell r="O54">
            <v>1651</v>
          </cell>
          <cell r="P54">
            <v>75064</v>
          </cell>
          <cell r="Q54">
            <v>126698</v>
          </cell>
          <cell r="R54">
            <v>1141</v>
          </cell>
        </row>
        <row r="55">
          <cell r="C55">
            <v>945962</v>
          </cell>
          <cell r="I55">
            <v>4550</v>
          </cell>
          <cell r="K55">
            <v>0</v>
          </cell>
          <cell r="L55">
            <v>10200</v>
          </cell>
          <cell r="N55">
            <v>76471</v>
          </cell>
          <cell r="O55">
            <v>1558</v>
          </cell>
          <cell r="P55">
            <v>109817</v>
          </cell>
          <cell r="Q55">
            <v>184288</v>
          </cell>
          <cell r="R55">
            <v>1789</v>
          </cell>
        </row>
        <row r="58">
          <cell r="N58">
            <v>1721</v>
          </cell>
        </row>
        <row r="59">
          <cell r="C59">
            <v>138033</v>
          </cell>
          <cell r="I59">
            <v>7800</v>
          </cell>
          <cell r="L59">
            <v>600</v>
          </cell>
          <cell r="N59">
            <v>10892</v>
          </cell>
          <cell r="O59">
            <v>0</v>
          </cell>
          <cell r="P59">
            <v>17525</v>
          </cell>
          <cell r="Q59">
            <v>34554</v>
          </cell>
          <cell r="R59">
            <v>261</v>
          </cell>
        </row>
        <row r="60">
          <cell r="C60">
            <v>673169</v>
          </cell>
          <cell r="I60">
            <v>0</v>
          </cell>
          <cell r="K60">
            <v>12000</v>
          </cell>
          <cell r="L60">
            <v>6600</v>
          </cell>
          <cell r="N60">
            <v>54607</v>
          </cell>
          <cell r="O60">
            <v>14796</v>
          </cell>
          <cell r="P60">
            <v>86165</v>
          </cell>
          <cell r="Q60">
            <v>102160</v>
          </cell>
          <cell r="R60">
            <v>1272</v>
          </cell>
        </row>
        <row r="61">
          <cell r="C61">
            <v>0</v>
          </cell>
          <cell r="I61">
            <v>0</v>
          </cell>
          <cell r="N61">
            <v>1913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C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C63">
            <v>0</v>
          </cell>
          <cell r="I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C64">
            <v>790775</v>
          </cell>
          <cell r="K64">
            <v>0</v>
          </cell>
          <cell r="L64">
            <v>4800</v>
          </cell>
          <cell r="N64">
            <v>130145</v>
          </cell>
          <cell r="O64">
            <v>0</v>
          </cell>
          <cell r="P64">
            <v>99019</v>
          </cell>
          <cell r="Q64">
            <v>184288</v>
          </cell>
          <cell r="R64">
            <v>1494</v>
          </cell>
        </row>
        <row r="65">
          <cell r="C65">
            <v>571289</v>
          </cell>
          <cell r="I65">
            <v>0</v>
          </cell>
          <cell r="K65">
            <v>0</v>
          </cell>
          <cell r="L65">
            <v>1800</v>
          </cell>
          <cell r="N65">
            <v>51447</v>
          </cell>
          <cell r="O65">
            <v>0</v>
          </cell>
          <cell r="P65">
            <v>75169</v>
          </cell>
          <cell r="Q65">
            <v>148232</v>
          </cell>
          <cell r="R65">
            <v>1081</v>
          </cell>
        </row>
      </sheetData>
      <sheetData sheetId="109">
        <row r="21">
          <cell r="E21">
            <v>102010</v>
          </cell>
          <cell r="L21" t="str">
            <v>FT</v>
          </cell>
          <cell r="O21">
            <v>52808.902039999994</v>
          </cell>
        </row>
        <row r="22">
          <cell r="E22">
            <v>109070</v>
          </cell>
          <cell r="L22" t="str">
            <v>FT</v>
          </cell>
          <cell r="O22">
            <v>67995.60318999998</v>
          </cell>
        </row>
        <row r="23">
          <cell r="E23">
            <v>40108100</v>
          </cell>
          <cell r="L23" t="str">
            <v>FT</v>
          </cell>
          <cell r="O23">
            <v>160964.38424999997</v>
          </cell>
        </row>
        <row r="24">
          <cell r="E24">
            <v>40108110</v>
          </cell>
          <cell r="L24" t="str">
            <v>FT</v>
          </cell>
          <cell r="O24">
            <v>82639.999999999985</v>
          </cell>
        </row>
        <row r="25">
          <cell r="E25">
            <v>112040</v>
          </cell>
          <cell r="L25" t="str">
            <v>FT</v>
          </cell>
          <cell r="O25">
            <v>51618.958349999994</v>
          </cell>
        </row>
        <row r="26">
          <cell r="E26">
            <v>40408010</v>
          </cell>
          <cell r="L26" t="str">
            <v>FT</v>
          </cell>
          <cell r="O26">
            <v>47319.942909999991</v>
          </cell>
        </row>
        <row r="27">
          <cell r="E27">
            <v>109030</v>
          </cell>
          <cell r="L27" t="str">
            <v>FT</v>
          </cell>
          <cell r="O27">
            <v>36589.376499999998</v>
          </cell>
        </row>
        <row r="28">
          <cell r="E28">
            <v>109030</v>
          </cell>
          <cell r="L28" t="str">
            <v>P1</v>
          </cell>
          <cell r="O28">
            <v>17479.186399999999</v>
          </cell>
        </row>
        <row r="29">
          <cell r="E29">
            <v>105030</v>
          </cell>
          <cell r="L29" t="str">
            <v>FT</v>
          </cell>
          <cell r="O29">
            <v>88103.805579999986</v>
          </cell>
        </row>
        <row r="30">
          <cell r="E30">
            <v>40108110</v>
          </cell>
          <cell r="L30" t="str">
            <v>FT</v>
          </cell>
          <cell r="O30">
            <v>99602.893000000011</v>
          </cell>
        </row>
        <row r="31">
          <cell r="E31">
            <v>109030</v>
          </cell>
          <cell r="L31" t="str">
            <v>FT</v>
          </cell>
          <cell r="O31">
            <v>54718.009999999995</v>
          </cell>
        </row>
        <row r="32">
          <cell r="E32">
            <v>40108140</v>
          </cell>
          <cell r="L32" t="str">
            <v>FT</v>
          </cell>
          <cell r="O32">
            <v>69315.126399999994</v>
          </cell>
        </row>
        <row r="33">
          <cell r="E33">
            <v>109110</v>
          </cell>
          <cell r="L33" t="str">
            <v>FT</v>
          </cell>
          <cell r="O33">
            <v>85529.042749999993</v>
          </cell>
        </row>
        <row r="34">
          <cell r="E34">
            <v>105010</v>
          </cell>
          <cell r="L34" t="str">
            <v>FT</v>
          </cell>
          <cell r="O34">
            <v>61647.373999999996</v>
          </cell>
        </row>
        <row r="35">
          <cell r="E35">
            <v>40108110</v>
          </cell>
          <cell r="L35" t="str">
            <v>FT</v>
          </cell>
          <cell r="O35">
            <v>76046.784530000004</v>
          </cell>
        </row>
        <row r="36">
          <cell r="E36">
            <v>108040</v>
          </cell>
          <cell r="L36" t="str">
            <v>FT</v>
          </cell>
          <cell r="O36">
            <v>54718.009999999995</v>
          </cell>
        </row>
        <row r="37">
          <cell r="E37">
            <v>12113010</v>
          </cell>
          <cell r="L37" t="str">
            <v>FT</v>
          </cell>
          <cell r="O37">
            <v>61647.373999999996</v>
          </cell>
        </row>
        <row r="38">
          <cell r="E38">
            <v>12113010</v>
          </cell>
          <cell r="L38" t="str">
            <v>P2</v>
          </cell>
          <cell r="O38">
            <v>68913.330719999998</v>
          </cell>
        </row>
        <row r="39">
          <cell r="E39">
            <v>40108190</v>
          </cell>
          <cell r="L39" t="str">
            <v>FT</v>
          </cell>
          <cell r="O39">
            <v>101006.14086</v>
          </cell>
        </row>
        <row r="40">
          <cell r="E40">
            <v>101010</v>
          </cell>
          <cell r="L40" t="str">
            <v>FT</v>
          </cell>
          <cell r="O40">
            <v>229646.23</v>
          </cell>
        </row>
        <row r="41">
          <cell r="E41">
            <v>109030</v>
          </cell>
          <cell r="L41" t="str">
            <v>FT</v>
          </cell>
          <cell r="O41">
            <v>58863.531969999982</v>
          </cell>
        </row>
        <row r="42">
          <cell r="E42">
            <v>40108110</v>
          </cell>
          <cell r="L42" t="str">
            <v>FT</v>
          </cell>
          <cell r="O42">
            <v>54718.009999999995</v>
          </cell>
        </row>
        <row r="43">
          <cell r="E43">
            <v>40108110</v>
          </cell>
          <cell r="L43" t="str">
            <v>FT</v>
          </cell>
          <cell r="O43">
            <v>81047.052020000003</v>
          </cell>
        </row>
        <row r="44">
          <cell r="E44">
            <v>101010</v>
          </cell>
          <cell r="L44" t="str">
            <v>FT</v>
          </cell>
          <cell r="O44">
            <v>153791.22191999998</v>
          </cell>
        </row>
        <row r="45">
          <cell r="E45">
            <v>109070</v>
          </cell>
          <cell r="L45" t="str">
            <v>FT</v>
          </cell>
          <cell r="O45">
            <v>61647.373999999996</v>
          </cell>
        </row>
        <row r="46">
          <cell r="E46">
            <v>109030</v>
          </cell>
          <cell r="L46" t="str">
            <v>FT</v>
          </cell>
          <cell r="O46">
            <v>81770.792480000004</v>
          </cell>
        </row>
        <row r="47">
          <cell r="E47">
            <v>40408010</v>
          </cell>
          <cell r="L47" t="str">
            <v>FT</v>
          </cell>
          <cell r="O47">
            <v>59678</v>
          </cell>
        </row>
        <row r="48">
          <cell r="E48">
            <v>40108190</v>
          </cell>
          <cell r="L48" t="str">
            <v>FT</v>
          </cell>
          <cell r="O48">
            <v>77290.640489999991</v>
          </cell>
        </row>
        <row r="49">
          <cell r="E49">
            <v>105060</v>
          </cell>
          <cell r="L49" t="str">
            <v>FT</v>
          </cell>
          <cell r="O49">
            <v>97723.504449999979</v>
          </cell>
        </row>
        <row r="50">
          <cell r="E50">
            <v>109030</v>
          </cell>
          <cell r="L50" t="str">
            <v>FT</v>
          </cell>
          <cell r="O50">
            <v>48344.4</v>
          </cell>
        </row>
        <row r="51">
          <cell r="E51">
            <v>109110</v>
          </cell>
          <cell r="L51" t="str">
            <v>FT</v>
          </cell>
          <cell r="O51">
            <v>132656.85798999999</v>
          </cell>
        </row>
        <row r="52">
          <cell r="E52">
            <v>101010</v>
          </cell>
          <cell r="L52" t="str">
            <v>FT</v>
          </cell>
          <cell r="O52">
            <v>7437.5255785479994</v>
          </cell>
        </row>
        <row r="53">
          <cell r="E53">
            <v>40408010</v>
          </cell>
          <cell r="L53" t="str">
            <v>FT</v>
          </cell>
          <cell r="O53">
            <v>73178.752999999997</v>
          </cell>
        </row>
        <row r="54">
          <cell r="E54">
            <v>40108140</v>
          </cell>
          <cell r="L54" t="str">
            <v>FT</v>
          </cell>
          <cell r="O54">
            <v>50962.476519999997</v>
          </cell>
        </row>
        <row r="55">
          <cell r="E55">
            <v>103010</v>
          </cell>
          <cell r="L55" t="str">
            <v>FT</v>
          </cell>
          <cell r="O55">
            <v>74046.462669999994</v>
          </cell>
        </row>
        <row r="56">
          <cell r="E56">
            <v>109070</v>
          </cell>
          <cell r="L56" t="str">
            <v>FT</v>
          </cell>
          <cell r="O56">
            <v>24392.917666666664</v>
          </cell>
        </row>
        <row r="57">
          <cell r="E57">
            <v>105060</v>
          </cell>
          <cell r="L57" t="str">
            <v>FT</v>
          </cell>
          <cell r="O57">
            <v>54702.773249999991</v>
          </cell>
        </row>
        <row r="58">
          <cell r="E58">
            <v>101010</v>
          </cell>
          <cell r="L58" t="str">
            <v>FT</v>
          </cell>
          <cell r="O58">
            <v>6198.0288785479997</v>
          </cell>
        </row>
        <row r="59">
          <cell r="E59">
            <v>12113010</v>
          </cell>
          <cell r="L59" t="str">
            <v>FT</v>
          </cell>
          <cell r="O59">
            <v>91782.370229999986</v>
          </cell>
        </row>
        <row r="60">
          <cell r="E60">
            <v>109030</v>
          </cell>
          <cell r="L60" t="str">
            <v>FT</v>
          </cell>
          <cell r="O60">
            <v>43765.844429999997</v>
          </cell>
        </row>
        <row r="61">
          <cell r="E61">
            <v>109030</v>
          </cell>
          <cell r="L61" t="str">
            <v>FT</v>
          </cell>
          <cell r="O61">
            <v>44356.410530000001</v>
          </cell>
        </row>
        <row r="62">
          <cell r="E62">
            <v>40108060</v>
          </cell>
          <cell r="L62" t="str">
            <v>FT</v>
          </cell>
          <cell r="O62">
            <v>59620.958559999992</v>
          </cell>
        </row>
        <row r="63">
          <cell r="E63">
            <v>12113010</v>
          </cell>
          <cell r="L63" t="str">
            <v>FT</v>
          </cell>
          <cell r="O63">
            <v>149785</v>
          </cell>
        </row>
        <row r="64">
          <cell r="E64">
            <v>109070</v>
          </cell>
          <cell r="L64" t="str">
            <v>P1</v>
          </cell>
          <cell r="O64">
            <v>20949.240000000002</v>
          </cell>
        </row>
        <row r="65">
          <cell r="E65">
            <v>109030</v>
          </cell>
          <cell r="L65" t="str">
            <v>FT</v>
          </cell>
          <cell r="O65">
            <v>64184.876519999998</v>
          </cell>
        </row>
        <row r="66">
          <cell r="E66">
            <v>105060</v>
          </cell>
          <cell r="L66" t="str">
            <v>FT</v>
          </cell>
          <cell r="O66">
            <v>110099.89810999999</v>
          </cell>
        </row>
        <row r="67">
          <cell r="E67">
            <v>105050</v>
          </cell>
          <cell r="L67" t="str">
            <v>FT</v>
          </cell>
          <cell r="O67">
            <v>97723.504449999979</v>
          </cell>
        </row>
        <row r="68">
          <cell r="E68">
            <v>12113010</v>
          </cell>
          <cell r="L68" t="str">
            <v>FT</v>
          </cell>
          <cell r="O68">
            <v>101233.99999999999</v>
          </cell>
        </row>
        <row r="69">
          <cell r="E69">
            <v>105050</v>
          </cell>
          <cell r="L69" t="str">
            <v>FT</v>
          </cell>
          <cell r="O69">
            <v>114321.37656999996</v>
          </cell>
        </row>
        <row r="70">
          <cell r="E70">
            <v>105040</v>
          </cell>
          <cell r="L70" t="str">
            <v>FT</v>
          </cell>
          <cell r="O70">
            <v>97723.504449999979</v>
          </cell>
        </row>
        <row r="71">
          <cell r="E71">
            <v>12113010</v>
          </cell>
          <cell r="L71" t="str">
            <v>FT</v>
          </cell>
          <cell r="O71">
            <v>80027.326069999981</v>
          </cell>
        </row>
        <row r="72">
          <cell r="E72">
            <v>105050</v>
          </cell>
          <cell r="L72" t="str">
            <v>FT</v>
          </cell>
          <cell r="O72">
            <v>95079.540949999995</v>
          </cell>
        </row>
        <row r="73">
          <cell r="E73">
            <v>40108060</v>
          </cell>
          <cell r="L73" t="str">
            <v>FT</v>
          </cell>
          <cell r="O73">
            <v>54718.009999999995</v>
          </cell>
        </row>
        <row r="74">
          <cell r="E74">
            <v>40108090</v>
          </cell>
          <cell r="L74" t="str">
            <v>FT</v>
          </cell>
          <cell r="O74">
            <v>52621.433199999992</v>
          </cell>
        </row>
        <row r="75">
          <cell r="E75">
            <v>112020</v>
          </cell>
          <cell r="L75" t="str">
            <v>FT</v>
          </cell>
          <cell r="O75">
            <v>69677.575110000005</v>
          </cell>
        </row>
        <row r="76">
          <cell r="E76">
            <v>105040</v>
          </cell>
          <cell r="L76" t="str">
            <v>FT</v>
          </cell>
          <cell r="O76">
            <v>95079.540949999995</v>
          </cell>
        </row>
        <row r="77">
          <cell r="E77">
            <v>105060</v>
          </cell>
          <cell r="L77" t="str">
            <v>FT</v>
          </cell>
          <cell r="O77">
            <v>61647.373999999996</v>
          </cell>
        </row>
        <row r="78">
          <cell r="E78">
            <v>112010</v>
          </cell>
          <cell r="L78" t="str">
            <v>FT</v>
          </cell>
          <cell r="O78">
            <v>185940</v>
          </cell>
        </row>
        <row r="79">
          <cell r="E79">
            <v>109040</v>
          </cell>
          <cell r="L79" t="str">
            <v>FT</v>
          </cell>
          <cell r="O79">
            <v>69652.845089999988</v>
          </cell>
        </row>
        <row r="80">
          <cell r="E80">
            <v>105010</v>
          </cell>
          <cell r="L80" t="str">
            <v>FT</v>
          </cell>
          <cell r="O80">
            <v>142037.49999999997</v>
          </cell>
        </row>
        <row r="81">
          <cell r="E81">
            <v>109070</v>
          </cell>
          <cell r="L81" t="str">
            <v>FT</v>
          </cell>
          <cell r="O81">
            <v>73178.752999999997</v>
          </cell>
        </row>
        <row r="82">
          <cell r="E82">
            <v>40108190</v>
          </cell>
          <cell r="L82" t="str">
            <v>FT</v>
          </cell>
          <cell r="O82">
            <v>77290.640489999991</v>
          </cell>
        </row>
        <row r="83">
          <cell r="E83">
            <v>40108060</v>
          </cell>
          <cell r="L83" t="str">
            <v>FT</v>
          </cell>
          <cell r="O83">
            <v>54718.009999999995</v>
          </cell>
        </row>
        <row r="84">
          <cell r="E84">
            <v>105040</v>
          </cell>
          <cell r="L84" t="str">
            <v>FT</v>
          </cell>
          <cell r="O84">
            <v>105135.21746999999</v>
          </cell>
        </row>
        <row r="85">
          <cell r="E85">
            <v>40108180</v>
          </cell>
          <cell r="L85" t="str">
            <v>FT</v>
          </cell>
          <cell r="O85">
            <v>68585.415199999989</v>
          </cell>
        </row>
        <row r="86">
          <cell r="E86">
            <v>109070</v>
          </cell>
          <cell r="L86" t="str">
            <v>FT</v>
          </cell>
          <cell r="O86">
            <v>52070.162419999993</v>
          </cell>
        </row>
        <row r="87">
          <cell r="E87">
            <v>105040</v>
          </cell>
          <cell r="L87" t="str">
            <v>FT</v>
          </cell>
          <cell r="O87">
            <v>86225.336400000015</v>
          </cell>
        </row>
        <row r="88">
          <cell r="E88">
            <v>105040</v>
          </cell>
          <cell r="L88" t="str">
            <v>FT</v>
          </cell>
          <cell r="O88">
            <v>101143.63316</v>
          </cell>
        </row>
        <row r="89">
          <cell r="E89">
            <v>109030</v>
          </cell>
          <cell r="L89" t="str">
            <v>FT</v>
          </cell>
          <cell r="O89">
            <v>51401.573830000001</v>
          </cell>
        </row>
        <row r="90">
          <cell r="E90">
            <v>40108060</v>
          </cell>
          <cell r="L90" t="str">
            <v>FT</v>
          </cell>
          <cell r="O90">
            <v>71285.480929999991</v>
          </cell>
        </row>
        <row r="91">
          <cell r="E91">
            <v>109110</v>
          </cell>
          <cell r="L91" t="str">
            <v>FT</v>
          </cell>
          <cell r="O91">
            <v>103300</v>
          </cell>
        </row>
        <row r="92">
          <cell r="E92">
            <v>109030</v>
          </cell>
          <cell r="L92" t="str">
            <v>FT</v>
          </cell>
          <cell r="O92">
            <v>45174.877090000009</v>
          </cell>
        </row>
        <row r="93">
          <cell r="E93">
            <v>40108180</v>
          </cell>
          <cell r="L93" t="str">
            <v>FT</v>
          </cell>
          <cell r="O93">
            <v>74345.030659999989</v>
          </cell>
        </row>
        <row r="94">
          <cell r="E94">
            <v>105030</v>
          </cell>
          <cell r="L94" t="str">
            <v>FT</v>
          </cell>
          <cell r="O94">
            <v>108796.39672999998</v>
          </cell>
        </row>
        <row r="95">
          <cell r="E95">
            <v>40108140</v>
          </cell>
          <cell r="L95" t="str">
            <v>FT</v>
          </cell>
          <cell r="O95">
            <v>40343.722030000004</v>
          </cell>
        </row>
        <row r="96">
          <cell r="E96">
            <v>40108110</v>
          </cell>
          <cell r="L96" t="str">
            <v>FT</v>
          </cell>
          <cell r="O96">
            <v>68340.697499999995</v>
          </cell>
        </row>
        <row r="97">
          <cell r="E97">
            <v>105050</v>
          </cell>
          <cell r="L97" t="str">
            <v>FT</v>
          </cell>
          <cell r="O97">
            <v>102057.22868999999</v>
          </cell>
        </row>
        <row r="98">
          <cell r="E98">
            <v>108040</v>
          </cell>
          <cell r="L98" t="str">
            <v>FT</v>
          </cell>
          <cell r="O98">
            <v>48738.189929999986</v>
          </cell>
        </row>
        <row r="99">
          <cell r="E99">
            <v>105050</v>
          </cell>
          <cell r="L99" t="str">
            <v>FT</v>
          </cell>
          <cell r="O99">
            <v>89705.72</v>
          </cell>
        </row>
        <row r="100">
          <cell r="E100">
            <v>105030</v>
          </cell>
          <cell r="L100" t="str">
            <v>FT</v>
          </cell>
          <cell r="O100">
            <v>89273.956990000006</v>
          </cell>
        </row>
        <row r="101">
          <cell r="E101">
            <v>109090</v>
          </cell>
          <cell r="L101" t="str">
            <v>FT</v>
          </cell>
          <cell r="O101">
            <v>50669.238809999995</v>
          </cell>
        </row>
        <row r="102">
          <cell r="E102">
            <v>40108070</v>
          </cell>
          <cell r="L102" t="str">
            <v>FT</v>
          </cell>
          <cell r="O102">
            <v>57439.903019999998</v>
          </cell>
        </row>
        <row r="103">
          <cell r="E103">
            <v>109160</v>
          </cell>
          <cell r="L103" t="str">
            <v>FT</v>
          </cell>
          <cell r="O103">
            <v>54809.027629999997</v>
          </cell>
        </row>
        <row r="104">
          <cell r="E104">
            <v>109030</v>
          </cell>
          <cell r="L104" t="str">
            <v>FT</v>
          </cell>
          <cell r="O104">
            <v>44352.619419999995</v>
          </cell>
        </row>
        <row r="105">
          <cell r="E105">
            <v>105060</v>
          </cell>
          <cell r="L105" t="str">
            <v>FT</v>
          </cell>
          <cell r="O105">
            <v>48650.61219</v>
          </cell>
        </row>
        <row r="106">
          <cell r="E106">
            <v>105040</v>
          </cell>
          <cell r="L106" t="str">
            <v>FT</v>
          </cell>
          <cell r="O106">
            <v>88629.757529999988</v>
          </cell>
        </row>
        <row r="107">
          <cell r="E107">
            <v>105030</v>
          </cell>
          <cell r="L107" t="str">
            <v>FT</v>
          </cell>
          <cell r="O107">
            <v>95361.16773999999</v>
          </cell>
        </row>
        <row r="108">
          <cell r="E108">
            <v>10408300</v>
          </cell>
          <cell r="L108" t="str">
            <v>FT</v>
          </cell>
          <cell r="O108">
            <v>128608.5</v>
          </cell>
        </row>
        <row r="109">
          <cell r="E109">
            <v>40108100</v>
          </cell>
          <cell r="L109" t="str">
            <v>FT</v>
          </cell>
          <cell r="O109">
            <v>61647.373999999996</v>
          </cell>
        </row>
        <row r="110">
          <cell r="E110">
            <v>109030</v>
          </cell>
          <cell r="L110" t="str">
            <v>FT</v>
          </cell>
          <cell r="O110">
            <v>45646.03871999999</v>
          </cell>
        </row>
        <row r="111">
          <cell r="E111">
            <v>40108140</v>
          </cell>
          <cell r="L111" t="str">
            <v>FT</v>
          </cell>
          <cell r="O111">
            <v>40982.42592999999</v>
          </cell>
        </row>
        <row r="112">
          <cell r="E112">
            <v>2511010</v>
          </cell>
          <cell r="L112" t="str">
            <v>FT</v>
          </cell>
          <cell r="O112">
            <v>53212.67074999999</v>
          </cell>
        </row>
        <row r="113">
          <cell r="E113">
            <v>40108140</v>
          </cell>
          <cell r="L113" t="str">
            <v>FT</v>
          </cell>
          <cell r="O113">
            <v>45609.212270000004</v>
          </cell>
        </row>
        <row r="114">
          <cell r="E114">
            <v>103040</v>
          </cell>
          <cell r="L114" t="str">
            <v>FT</v>
          </cell>
          <cell r="O114">
            <v>45693.598039999997</v>
          </cell>
        </row>
        <row r="115">
          <cell r="E115">
            <v>109030</v>
          </cell>
          <cell r="L115" t="str">
            <v>FT</v>
          </cell>
          <cell r="O115">
            <v>55002.529189999987</v>
          </cell>
        </row>
        <row r="116">
          <cell r="E116">
            <v>103010</v>
          </cell>
          <cell r="L116" t="str">
            <v>FT</v>
          </cell>
          <cell r="O116">
            <v>60246.853259999996</v>
          </cell>
        </row>
        <row r="117">
          <cell r="E117">
            <v>105050</v>
          </cell>
          <cell r="L117" t="str">
            <v>FT</v>
          </cell>
          <cell r="O117">
            <v>87587.822079999984</v>
          </cell>
        </row>
        <row r="118">
          <cell r="E118">
            <v>109040</v>
          </cell>
          <cell r="L118" t="str">
            <v>FT</v>
          </cell>
          <cell r="O118">
            <v>82542.12324999999</v>
          </cell>
        </row>
        <row r="119">
          <cell r="E119">
            <v>105010</v>
          </cell>
          <cell r="L119" t="str">
            <v>FT</v>
          </cell>
          <cell r="O119">
            <v>92531.24357999998</v>
          </cell>
        </row>
        <row r="120">
          <cell r="E120">
            <v>105060</v>
          </cell>
          <cell r="L120" t="str">
            <v>FT</v>
          </cell>
          <cell r="O120">
            <v>92146.709329999983</v>
          </cell>
        </row>
        <row r="121">
          <cell r="E121">
            <v>105010</v>
          </cell>
          <cell r="L121" t="str">
            <v>FT</v>
          </cell>
          <cell r="O121">
            <v>88110.61305</v>
          </cell>
        </row>
        <row r="122">
          <cell r="E122">
            <v>105010</v>
          </cell>
          <cell r="L122" t="str">
            <v>FT</v>
          </cell>
          <cell r="O122">
            <v>116472.39246999999</v>
          </cell>
        </row>
        <row r="123">
          <cell r="E123">
            <v>105030</v>
          </cell>
          <cell r="L123" t="str">
            <v>FT</v>
          </cell>
          <cell r="O123">
            <v>84571.348449999976</v>
          </cell>
        </row>
        <row r="124">
          <cell r="E124">
            <v>40108100</v>
          </cell>
          <cell r="L124" t="str">
            <v>FT</v>
          </cell>
          <cell r="O124">
            <v>57085.005539999991</v>
          </cell>
        </row>
        <row r="125">
          <cell r="E125">
            <v>105030</v>
          </cell>
          <cell r="L125" t="str">
            <v>FT</v>
          </cell>
          <cell r="O125">
            <v>85522.855079999979</v>
          </cell>
        </row>
        <row r="126">
          <cell r="E126">
            <v>105040</v>
          </cell>
          <cell r="L126" t="str">
            <v>FT</v>
          </cell>
          <cell r="O126">
            <v>83840.325339999996</v>
          </cell>
        </row>
        <row r="127">
          <cell r="E127">
            <v>109030</v>
          </cell>
          <cell r="L127" t="str">
            <v>FT</v>
          </cell>
          <cell r="O127">
            <v>44937.607319999996</v>
          </cell>
        </row>
        <row r="128">
          <cell r="E128">
            <v>109030</v>
          </cell>
          <cell r="L128" t="str">
            <v>FT</v>
          </cell>
          <cell r="O128">
            <v>57998.652719999991</v>
          </cell>
        </row>
        <row r="129">
          <cell r="E129">
            <v>105040</v>
          </cell>
          <cell r="L129" t="str">
            <v>FT</v>
          </cell>
          <cell r="O129">
            <v>93314.040649999995</v>
          </cell>
        </row>
        <row r="130">
          <cell r="E130">
            <v>105050</v>
          </cell>
          <cell r="L130" t="str">
            <v>FT</v>
          </cell>
          <cell r="O130">
            <v>85462.372929999998</v>
          </cell>
        </row>
        <row r="131">
          <cell r="E131">
            <v>109160</v>
          </cell>
          <cell r="L131" t="str">
            <v>FT</v>
          </cell>
          <cell r="O131">
            <v>68337.267939999976</v>
          </cell>
        </row>
        <row r="132">
          <cell r="E132">
            <v>105060</v>
          </cell>
          <cell r="L132" t="str">
            <v>FT</v>
          </cell>
          <cell r="O132">
            <v>99933.256729999979</v>
          </cell>
        </row>
        <row r="133">
          <cell r="E133">
            <v>112010</v>
          </cell>
          <cell r="L133" t="str">
            <v>FT</v>
          </cell>
          <cell r="O133">
            <v>103300</v>
          </cell>
        </row>
        <row r="134">
          <cell r="E134">
            <v>105040</v>
          </cell>
          <cell r="L134" t="str">
            <v>FT</v>
          </cell>
          <cell r="O134">
            <v>100668.65976</v>
          </cell>
        </row>
        <row r="135">
          <cell r="E135">
            <v>40408010</v>
          </cell>
          <cell r="L135" t="str">
            <v>FT</v>
          </cell>
          <cell r="O135">
            <v>51847.540589999997</v>
          </cell>
        </row>
        <row r="136">
          <cell r="E136">
            <v>12113010</v>
          </cell>
          <cell r="L136" t="str">
            <v>FT</v>
          </cell>
          <cell r="O136">
            <v>71817.258999999991</v>
          </cell>
        </row>
        <row r="137">
          <cell r="E137">
            <v>10408300</v>
          </cell>
          <cell r="L137" t="str">
            <v>FT</v>
          </cell>
          <cell r="O137">
            <v>46495.061419999991</v>
          </cell>
        </row>
        <row r="138">
          <cell r="E138">
            <v>109070</v>
          </cell>
          <cell r="L138" t="str">
            <v>FT</v>
          </cell>
          <cell r="O138">
            <v>37298.159120000004</v>
          </cell>
        </row>
        <row r="139">
          <cell r="E139">
            <v>12113010</v>
          </cell>
          <cell r="L139" t="str">
            <v>FT</v>
          </cell>
          <cell r="O139">
            <v>55134.102399999996</v>
          </cell>
        </row>
        <row r="140">
          <cell r="E140">
            <v>10408300</v>
          </cell>
          <cell r="L140" t="str">
            <v>FT</v>
          </cell>
          <cell r="O140">
            <v>89273.709069999968</v>
          </cell>
        </row>
        <row r="141">
          <cell r="E141">
            <v>105030</v>
          </cell>
          <cell r="L141" t="str">
            <v>FT</v>
          </cell>
          <cell r="O141">
            <v>84828.710069999986</v>
          </cell>
        </row>
        <row r="142">
          <cell r="E142">
            <v>40108110</v>
          </cell>
          <cell r="L142" t="str">
            <v>FT</v>
          </cell>
          <cell r="O142">
            <v>86438.878160000007</v>
          </cell>
        </row>
        <row r="143">
          <cell r="E143">
            <v>105030</v>
          </cell>
          <cell r="L143" t="str">
            <v>FT</v>
          </cell>
          <cell r="O143">
            <v>83744.256339999978</v>
          </cell>
        </row>
        <row r="144">
          <cell r="E144">
            <v>105060</v>
          </cell>
          <cell r="L144" t="str">
            <v>FT</v>
          </cell>
          <cell r="O144">
            <v>49851.082150000002</v>
          </cell>
        </row>
        <row r="145">
          <cell r="E145">
            <v>109070</v>
          </cell>
          <cell r="L145" t="str">
            <v>FT</v>
          </cell>
          <cell r="O145">
            <v>77899.779930000004</v>
          </cell>
        </row>
        <row r="146">
          <cell r="E146">
            <v>40408010</v>
          </cell>
          <cell r="L146" t="str">
            <v>FT</v>
          </cell>
          <cell r="O146">
            <v>47524.197999999989</v>
          </cell>
        </row>
        <row r="147">
          <cell r="E147">
            <v>40108100</v>
          </cell>
          <cell r="L147" t="str">
            <v>FT</v>
          </cell>
          <cell r="O147">
            <v>90502.596859999976</v>
          </cell>
        </row>
        <row r="148">
          <cell r="E148">
            <v>102010</v>
          </cell>
          <cell r="L148" t="str">
            <v>FT</v>
          </cell>
          <cell r="O148">
            <v>75373.599089999989</v>
          </cell>
        </row>
        <row r="149">
          <cell r="E149">
            <v>109040</v>
          </cell>
          <cell r="L149" t="str">
            <v>FT</v>
          </cell>
          <cell r="O149">
            <v>59023.037500000006</v>
          </cell>
        </row>
        <row r="150">
          <cell r="E150">
            <v>112040</v>
          </cell>
          <cell r="L150" t="str">
            <v>FT</v>
          </cell>
          <cell r="O150">
            <v>123959.99999999997</v>
          </cell>
        </row>
        <row r="151">
          <cell r="E151">
            <v>40108110</v>
          </cell>
          <cell r="L151" t="str">
            <v>FT</v>
          </cell>
          <cell r="O151">
            <v>72142.850269999995</v>
          </cell>
        </row>
        <row r="152">
          <cell r="E152">
            <v>105030</v>
          </cell>
          <cell r="L152" t="str">
            <v>FT</v>
          </cell>
          <cell r="O152">
            <v>80632.323179999992</v>
          </cell>
        </row>
        <row r="153">
          <cell r="E153">
            <v>40108100</v>
          </cell>
          <cell r="L153" t="str">
            <v>FT</v>
          </cell>
          <cell r="O153">
            <v>101233.99999999999</v>
          </cell>
        </row>
        <row r="154">
          <cell r="E154">
            <v>112010</v>
          </cell>
          <cell r="L154" t="str">
            <v>FT</v>
          </cell>
          <cell r="O154">
            <v>108465</v>
          </cell>
        </row>
        <row r="155">
          <cell r="E155">
            <v>109200</v>
          </cell>
          <cell r="L155" t="str">
            <v>FT</v>
          </cell>
          <cell r="O155">
            <v>41569.43851</v>
          </cell>
        </row>
        <row r="156">
          <cell r="E156">
            <v>40108140</v>
          </cell>
          <cell r="L156" t="str">
            <v>FT</v>
          </cell>
          <cell r="O156">
            <v>51448.988530000002</v>
          </cell>
        </row>
        <row r="157">
          <cell r="E157">
            <v>109070</v>
          </cell>
          <cell r="L157" t="str">
            <v>FT</v>
          </cell>
          <cell r="O157">
            <v>79492.57295999999</v>
          </cell>
        </row>
        <row r="158">
          <cell r="E158">
            <v>109030</v>
          </cell>
          <cell r="L158" t="str">
            <v>FT</v>
          </cell>
          <cell r="O158">
            <v>45061.195439999996</v>
          </cell>
        </row>
        <row r="159">
          <cell r="E159">
            <v>109110</v>
          </cell>
          <cell r="L159" t="str">
            <v>FT</v>
          </cell>
          <cell r="O159">
            <v>83278.280369999993</v>
          </cell>
        </row>
        <row r="160">
          <cell r="E160">
            <v>103040</v>
          </cell>
          <cell r="L160" t="str">
            <v>FT</v>
          </cell>
          <cell r="O160">
            <v>40559.815299999987</v>
          </cell>
        </row>
        <row r="161">
          <cell r="E161">
            <v>109160</v>
          </cell>
          <cell r="L161" t="str">
            <v>FT</v>
          </cell>
          <cell r="O161">
            <v>40911.138599999991</v>
          </cell>
        </row>
        <row r="162">
          <cell r="E162">
            <v>12113010</v>
          </cell>
          <cell r="L162" t="str">
            <v>FT</v>
          </cell>
          <cell r="O162">
            <v>81747.673939999993</v>
          </cell>
        </row>
        <row r="163">
          <cell r="E163">
            <v>101010</v>
          </cell>
          <cell r="L163" t="str">
            <v>FT</v>
          </cell>
          <cell r="O163">
            <v>130991.70331</v>
          </cell>
        </row>
        <row r="164">
          <cell r="E164">
            <v>109070</v>
          </cell>
          <cell r="L164" t="str">
            <v>FT</v>
          </cell>
          <cell r="O164">
            <v>36876.943039999991</v>
          </cell>
        </row>
        <row r="165">
          <cell r="E165">
            <v>12113010</v>
          </cell>
          <cell r="L165" t="str">
            <v>FT</v>
          </cell>
          <cell r="O165">
            <v>76837.63900000001</v>
          </cell>
        </row>
        <row r="166">
          <cell r="E166">
            <v>40408010</v>
          </cell>
          <cell r="L166" t="str">
            <v>FT</v>
          </cell>
          <cell r="O166">
            <v>45432.755210000003</v>
          </cell>
        </row>
        <row r="167">
          <cell r="E167">
            <v>103010</v>
          </cell>
          <cell r="L167" t="str">
            <v>FT</v>
          </cell>
          <cell r="O167">
            <v>117892.96373999998</v>
          </cell>
        </row>
        <row r="168">
          <cell r="E168">
            <v>109040</v>
          </cell>
          <cell r="L168" t="str">
            <v>FT</v>
          </cell>
          <cell r="O168">
            <v>44771.139369999997</v>
          </cell>
        </row>
        <row r="169">
          <cell r="E169">
            <v>109040</v>
          </cell>
          <cell r="L169" t="str">
            <v>FT</v>
          </cell>
          <cell r="O169">
            <v>57998.848989999991</v>
          </cell>
        </row>
        <row r="170">
          <cell r="E170">
            <v>105030</v>
          </cell>
          <cell r="L170" t="str">
            <v>FT</v>
          </cell>
          <cell r="O170">
            <v>79232.23629999999</v>
          </cell>
        </row>
        <row r="171">
          <cell r="E171">
            <v>105030</v>
          </cell>
          <cell r="L171" t="str">
            <v>FT</v>
          </cell>
          <cell r="O171">
            <v>79640.39525999999</v>
          </cell>
        </row>
        <row r="172">
          <cell r="E172">
            <v>108040</v>
          </cell>
          <cell r="L172" t="str">
            <v>FT</v>
          </cell>
          <cell r="O172">
            <v>53089.0723</v>
          </cell>
        </row>
        <row r="173">
          <cell r="E173">
            <v>112040</v>
          </cell>
          <cell r="L173" t="str">
            <v>FT</v>
          </cell>
          <cell r="O173">
            <v>82161.720999999976</v>
          </cell>
        </row>
        <row r="174">
          <cell r="E174">
            <v>101040</v>
          </cell>
          <cell r="L174" t="str">
            <v>FT</v>
          </cell>
          <cell r="O174">
            <v>136355.99999999997</v>
          </cell>
        </row>
        <row r="175">
          <cell r="E175">
            <v>112010</v>
          </cell>
          <cell r="L175" t="str">
            <v>FT</v>
          </cell>
          <cell r="O175">
            <v>71766.827939999988</v>
          </cell>
        </row>
        <row r="176">
          <cell r="E176">
            <v>109110</v>
          </cell>
          <cell r="L176" t="str">
            <v>FT</v>
          </cell>
          <cell r="O176">
            <v>49418.719999999994</v>
          </cell>
        </row>
        <row r="177">
          <cell r="E177">
            <v>107010</v>
          </cell>
          <cell r="L177" t="str">
            <v>FT</v>
          </cell>
          <cell r="O177">
            <v>97180.962519999986</v>
          </cell>
        </row>
        <row r="178">
          <cell r="E178">
            <v>109160</v>
          </cell>
          <cell r="L178" t="str">
            <v>FT</v>
          </cell>
          <cell r="O178">
            <v>68275.349920000008</v>
          </cell>
        </row>
        <row r="179">
          <cell r="E179">
            <v>40108070</v>
          </cell>
          <cell r="L179" t="str">
            <v>FT</v>
          </cell>
          <cell r="O179">
            <v>47140.696749999988</v>
          </cell>
        </row>
        <row r="180">
          <cell r="E180">
            <v>105050</v>
          </cell>
          <cell r="L180" t="str">
            <v>FT</v>
          </cell>
          <cell r="O180">
            <v>75914.384919999982</v>
          </cell>
        </row>
        <row r="181">
          <cell r="E181">
            <v>105060</v>
          </cell>
          <cell r="L181" t="str">
            <v>FT</v>
          </cell>
          <cell r="O181">
            <v>62081.41994</v>
          </cell>
        </row>
        <row r="182">
          <cell r="E182">
            <v>105050</v>
          </cell>
          <cell r="L182" t="str">
            <v>FT</v>
          </cell>
          <cell r="O182">
            <v>71139.290769999978</v>
          </cell>
        </row>
        <row r="183">
          <cell r="E183">
            <v>109110</v>
          </cell>
          <cell r="L183" t="str">
            <v>FT</v>
          </cell>
          <cell r="O183">
            <v>67538.562669999999</v>
          </cell>
        </row>
        <row r="184">
          <cell r="E184">
            <v>109070</v>
          </cell>
          <cell r="L184" t="str">
            <v>FT</v>
          </cell>
          <cell r="O184">
            <v>37306.474770000001</v>
          </cell>
        </row>
        <row r="185">
          <cell r="E185">
            <v>109070</v>
          </cell>
          <cell r="L185" t="str">
            <v>FT</v>
          </cell>
          <cell r="O185">
            <v>38169.195049999995</v>
          </cell>
        </row>
        <row r="186">
          <cell r="E186">
            <v>105050</v>
          </cell>
          <cell r="L186" t="str">
            <v>FT</v>
          </cell>
          <cell r="O186">
            <v>78783.872980000015</v>
          </cell>
        </row>
        <row r="187">
          <cell r="E187">
            <v>109070</v>
          </cell>
          <cell r="L187" t="str">
            <v>FT</v>
          </cell>
          <cell r="O187">
            <v>54167.544959999992</v>
          </cell>
        </row>
        <row r="188">
          <cell r="E188">
            <v>103050</v>
          </cell>
          <cell r="L188" t="str">
            <v>FT</v>
          </cell>
          <cell r="O188">
            <v>91073.381009999983</v>
          </cell>
        </row>
        <row r="189">
          <cell r="E189">
            <v>102010</v>
          </cell>
          <cell r="L189" t="str">
            <v>FT</v>
          </cell>
          <cell r="O189">
            <v>111009.91945999999</v>
          </cell>
        </row>
        <row r="190">
          <cell r="E190">
            <v>105050</v>
          </cell>
          <cell r="L190" t="str">
            <v>FT</v>
          </cell>
          <cell r="O190">
            <v>86535.887189999979</v>
          </cell>
        </row>
        <row r="191">
          <cell r="E191">
            <v>105040</v>
          </cell>
          <cell r="L191" t="str">
            <v>FT</v>
          </cell>
          <cell r="O191">
            <v>75498.747039999987</v>
          </cell>
        </row>
        <row r="192">
          <cell r="E192">
            <v>109200</v>
          </cell>
          <cell r="L192" t="str">
            <v>FT</v>
          </cell>
          <cell r="O192">
            <v>40732.450259999991</v>
          </cell>
        </row>
        <row r="193">
          <cell r="E193">
            <v>105030</v>
          </cell>
          <cell r="L193" t="str">
            <v>FT</v>
          </cell>
          <cell r="O193">
            <v>88002.602569999974</v>
          </cell>
        </row>
        <row r="194">
          <cell r="E194">
            <v>112050</v>
          </cell>
          <cell r="L194" t="str">
            <v>P1</v>
          </cell>
          <cell r="O194">
            <v>18177.494400000003</v>
          </cell>
        </row>
        <row r="195">
          <cell r="E195">
            <v>109200</v>
          </cell>
          <cell r="L195" t="str">
            <v>FT</v>
          </cell>
          <cell r="O195">
            <v>65231.883999999991</v>
          </cell>
        </row>
        <row r="196">
          <cell r="E196">
            <v>103010</v>
          </cell>
          <cell r="L196" t="str">
            <v>FT</v>
          </cell>
          <cell r="O196">
            <v>61836.289039999996</v>
          </cell>
        </row>
        <row r="197">
          <cell r="E197">
            <v>109040</v>
          </cell>
          <cell r="L197" t="str">
            <v>FT</v>
          </cell>
          <cell r="O197">
            <v>44577.21428</v>
          </cell>
        </row>
        <row r="198">
          <cell r="E198">
            <v>109030</v>
          </cell>
          <cell r="L198" t="str">
            <v>FT</v>
          </cell>
          <cell r="O198">
            <v>36728.191039999998</v>
          </cell>
        </row>
        <row r="199">
          <cell r="E199">
            <v>10408300</v>
          </cell>
          <cell r="L199" t="str">
            <v>FT</v>
          </cell>
          <cell r="O199">
            <v>52279.799440000003</v>
          </cell>
        </row>
        <row r="200">
          <cell r="E200">
            <v>101040</v>
          </cell>
          <cell r="L200" t="str">
            <v>FT</v>
          </cell>
          <cell r="O200">
            <v>76092.195210000005</v>
          </cell>
        </row>
        <row r="201">
          <cell r="E201">
            <v>109040</v>
          </cell>
          <cell r="L201" t="str">
            <v>FT</v>
          </cell>
          <cell r="O201">
            <v>44582.864789999992</v>
          </cell>
        </row>
        <row r="202">
          <cell r="E202">
            <v>109040</v>
          </cell>
          <cell r="L202" t="str">
            <v>FT</v>
          </cell>
          <cell r="O202">
            <v>62854.24856</v>
          </cell>
        </row>
        <row r="203">
          <cell r="E203">
            <v>105040</v>
          </cell>
          <cell r="L203" t="str">
            <v>FT</v>
          </cell>
          <cell r="O203">
            <v>73888.630600000004</v>
          </cell>
        </row>
        <row r="204">
          <cell r="E204">
            <v>109200</v>
          </cell>
          <cell r="L204" t="str">
            <v>FT</v>
          </cell>
          <cell r="O204">
            <v>47435.401320000004</v>
          </cell>
        </row>
        <row r="205">
          <cell r="E205">
            <v>105050</v>
          </cell>
          <cell r="L205" t="str">
            <v>FT</v>
          </cell>
          <cell r="O205">
            <v>82722.64</v>
          </cell>
        </row>
        <row r="206">
          <cell r="E206">
            <v>105030</v>
          </cell>
          <cell r="L206" t="str">
            <v>FT</v>
          </cell>
          <cell r="O206">
            <v>75553.527029999997</v>
          </cell>
        </row>
        <row r="207">
          <cell r="E207">
            <v>109160</v>
          </cell>
          <cell r="L207" t="str">
            <v>FT</v>
          </cell>
          <cell r="O207">
            <v>45023.139719999992</v>
          </cell>
        </row>
        <row r="208">
          <cell r="E208">
            <v>109160</v>
          </cell>
          <cell r="L208" t="str">
            <v>FT</v>
          </cell>
          <cell r="O208">
            <v>41901.651310000001</v>
          </cell>
        </row>
        <row r="209">
          <cell r="E209">
            <v>40108190</v>
          </cell>
          <cell r="L209" t="str">
            <v>FT</v>
          </cell>
          <cell r="O209">
            <v>59993.003840000005</v>
          </cell>
        </row>
        <row r="210">
          <cell r="E210">
            <v>10408300</v>
          </cell>
          <cell r="L210" t="str">
            <v>FT</v>
          </cell>
          <cell r="O210">
            <v>45714.268369999991</v>
          </cell>
        </row>
        <row r="211">
          <cell r="E211">
            <v>40408010</v>
          </cell>
          <cell r="L211" t="str">
            <v>FT</v>
          </cell>
          <cell r="O211">
            <v>48397.32</v>
          </cell>
        </row>
        <row r="212">
          <cell r="E212">
            <v>112040</v>
          </cell>
          <cell r="L212" t="str">
            <v>FT</v>
          </cell>
          <cell r="O212">
            <v>45281.379390000002</v>
          </cell>
        </row>
        <row r="213">
          <cell r="E213">
            <v>112040</v>
          </cell>
          <cell r="L213" t="str">
            <v>FT</v>
          </cell>
          <cell r="O213">
            <v>88023.613790000003</v>
          </cell>
        </row>
        <row r="214">
          <cell r="E214">
            <v>105030</v>
          </cell>
          <cell r="L214" t="str">
            <v>FT</v>
          </cell>
          <cell r="O214">
            <v>73925.033519999997</v>
          </cell>
        </row>
        <row r="215">
          <cell r="E215">
            <v>40108140</v>
          </cell>
          <cell r="L215" t="str">
            <v>FT</v>
          </cell>
          <cell r="O215">
            <v>42190.891309999992</v>
          </cell>
        </row>
        <row r="216">
          <cell r="E216">
            <v>101010</v>
          </cell>
          <cell r="L216" t="str">
            <v>FT</v>
          </cell>
          <cell r="O216">
            <v>6198.0288785479997</v>
          </cell>
        </row>
        <row r="217">
          <cell r="E217">
            <v>40108180</v>
          </cell>
          <cell r="L217" t="str">
            <v>FT</v>
          </cell>
          <cell r="O217">
            <v>57029.037599999996</v>
          </cell>
        </row>
        <row r="218">
          <cell r="E218">
            <v>40108110</v>
          </cell>
          <cell r="L218" t="str">
            <v>FT</v>
          </cell>
          <cell r="O218">
            <v>64852.38046</v>
          </cell>
        </row>
        <row r="219">
          <cell r="E219">
            <v>40108140</v>
          </cell>
          <cell r="L219" t="str">
            <v>FT</v>
          </cell>
          <cell r="O219">
            <v>43918.2016</v>
          </cell>
        </row>
        <row r="220">
          <cell r="E220">
            <v>109090</v>
          </cell>
          <cell r="L220" t="str">
            <v>FT</v>
          </cell>
          <cell r="O220">
            <v>41624.538729999993</v>
          </cell>
        </row>
        <row r="221">
          <cell r="E221">
            <v>105040</v>
          </cell>
          <cell r="L221" t="str">
            <v>FT</v>
          </cell>
          <cell r="O221">
            <v>74500.889699999985</v>
          </cell>
        </row>
        <row r="222">
          <cell r="E222">
            <v>105030</v>
          </cell>
          <cell r="L222" t="str">
            <v>FT</v>
          </cell>
          <cell r="O222">
            <v>74627.390879999992</v>
          </cell>
        </row>
        <row r="223">
          <cell r="E223">
            <v>40108180</v>
          </cell>
          <cell r="L223" t="str">
            <v>FT</v>
          </cell>
          <cell r="O223">
            <v>50464.167650000003</v>
          </cell>
        </row>
        <row r="224">
          <cell r="E224">
            <v>10408300</v>
          </cell>
          <cell r="L224" t="str">
            <v>FT</v>
          </cell>
          <cell r="O224">
            <v>43928.324999999997</v>
          </cell>
        </row>
        <row r="225">
          <cell r="E225">
            <v>105030</v>
          </cell>
          <cell r="L225" t="str">
            <v>FT</v>
          </cell>
          <cell r="O225">
            <v>70776.284239999994</v>
          </cell>
        </row>
        <row r="226">
          <cell r="E226">
            <v>105040</v>
          </cell>
          <cell r="L226" t="str">
            <v>FT</v>
          </cell>
          <cell r="O226">
            <v>75689.955339999986</v>
          </cell>
        </row>
        <row r="227">
          <cell r="E227">
            <v>105040</v>
          </cell>
          <cell r="L227" t="str">
            <v>FT</v>
          </cell>
          <cell r="O227">
            <v>74371.754369999981</v>
          </cell>
        </row>
        <row r="228">
          <cell r="E228">
            <v>107010</v>
          </cell>
          <cell r="L228" t="str">
            <v>FT</v>
          </cell>
          <cell r="O228">
            <v>45428.623210000005</v>
          </cell>
        </row>
        <row r="229">
          <cell r="E229">
            <v>12113010</v>
          </cell>
          <cell r="L229" t="str">
            <v>FT</v>
          </cell>
          <cell r="O229">
            <v>61463.499999999993</v>
          </cell>
        </row>
        <row r="230">
          <cell r="E230">
            <v>40108060</v>
          </cell>
          <cell r="L230" t="str">
            <v>FT</v>
          </cell>
          <cell r="O230">
            <v>43093.88826</v>
          </cell>
        </row>
        <row r="231">
          <cell r="E231">
            <v>10408300</v>
          </cell>
          <cell r="L231" t="str">
            <v>FT</v>
          </cell>
          <cell r="O231">
            <v>57643.187089999999</v>
          </cell>
        </row>
        <row r="232">
          <cell r="E232">
            <v>40108110</v>
          </cell>
          <cell r="L232" t="str">
            <v>FT</v>
          </cell>
          <cell r="O232">
            <v>65772.23596999998</v>
          </cell>
        </row>
        <row r="233">
          <cell r="E233">
            <v>103040</v>
          </cell>
          <cell r="L233" t="str">
            <v>FT</v>
          </cell>
          <cell r="O233">
            <v>40211.157139999996</v>
          </cell>
        </row>
        <row r="234">
          <cell r="E234">
            <v>108040</v>
          </cell>
          <cell r="L234" t="str">
            <v>FT</v>
          </cell>
          <cell r="O234">
            <v>40593.356809999997</v>
          </cell>
        </row>
        <row r="235">
          <cell r="E235">
            <v>40108180</v>
          </cell>
          <cell r="L235" t="str">
            <v>FT</v>
          </cell>
          <cell r="O235">
            <v>44817.469419999994</v>
          </cell>
        </row>
        <row r="236">
          <cell r="E236">
            <v>109110</v>
          </cell>
          <cell r="L236" t="str">
            <v>FT</v>
          </cell>
          <cell r="O236">
            <v>71410.918119999988</v>
          </cell>
        </row>
        <row r="237">
          <cell r="E237">
            <v>109030</v>
          </cell>
          <cell r="L237" t="str">
            <v>FT</v>
          </cell>
          <cell r="O237">
            <v>36832.441399999996</v>
          </cell>
        </row>
        <row r="238">
          <cell r="E238">
            <v>105050</v>
          </cell>
          <cell r="L238" t="str">
            <v>FT</v>
          </cell>
          <cell r="O238">
            <v>64769.100000000006</v>
          </cell>
        </row>
        <row r="239">
          <cell r="E239">
            <v>109070</v>
          </cell>
          <cell r="L239" t="str">
            <v>P1</v>
          </cell>
          <cell r="O239">
            <v>18091.548799999997</v>
          </cell>
        </row>
        <row r="240">
          <cell r="E240">
            <v>108040</v>
          </cell>
          <cell r="L240" t="str">
            <v>FT</v>
          </cell>
          <cell r="O240">
            <v>39725.636809999996</v>
          </cell>
        </row>
        <row r="241">
          <cell r="E241">
            <v>105030</v>
          </cell>
          <cell r="L241" t="str">
            <v>FT</v>
          </cell>
          <cell r="O241">
            <v>75911.203279999987</v>
          </cell>
        </row>
        <row r="242">
          <cell r="E242">
            <v>105030</v>
          </cell>
          <cell r="L242" t="str">
            <v>FT</v>
          </cell>
          <cell r="O242">
            <v>63817.903269999995</v>
          </cell>
        </row>
        <row r="243">
          <cell r="E243">
            <v>10408300</v>
          </cell>
          <cell r="L243" t="str">
            <v>FT</v>
          </cell>
          <cell r="O243">
            <v>39000.976979999992</v>
          </cell>
        </row>
        <row r="244">
          <cell r="E244">
            <v>40108060</v>
          </cell>
          <cell r="L244" t="str">
            <v>FT</v>
          </cell>
          <cell r="O244">
            <v>48891.951979999998</v>
          </cell>
        </row>
        <row r="245">
          <cell r="E245">
            <v>112040</v>
          </cell>
          <cell r="L245" t="str">
            <v>FT</v>
          </cell>
          <cell r="O245">
            <v>60196.008999999991</v>
          </cell>
        </row>
        <row r="246">
          <cell r="E246">
            <v>109030</v>
          </cell>
          <cell r="L246" t="str">
            <v>FT</v>
          </cell>
          <cell r="O246">
            <v>35452.559999999998</v>
          </cell>
        </row>
        <row r="247">
          <cell r="E247">
            <v>12113010</v>
          </cell>
          <cell r="L247" t="str">
            <v>FT</v>
          </cell>
          <cell r="O247">
            <v>45990.337619999998</v>
          </cell>
        </row>
        <row r="248">
          <cell r="E248">
            <v>40108100</v>
          </cell>
          <cell r="L248" t="str">
            <v>FT</v>
          </cell>
          <cell r="O248">
            <v>84577.391499999998</v>
          </cell>
        </row>
        <row r="249">
          <cell r="E249">
            <v>40108140</v>
          </cell>
          <cell r="L249" t="str">
            <v>FT</v>
          </cell>
          <cell r="O249">
            <v>42003.091909999996</v>
          </cell>
        </row>
        <row r="250">
          <cell r="E250">
            <v>40108110</v>
          </cell>
          <cell r="L250" t="str">
            <v>FT</v>
          </cell>
          <cell r="O250">
            <v>65805.137019999995</v>
          </cell>
        </row>
        <row r="251">
          <cell r="E251">
            <v>40108180</v>
          </cell>
          <cell r="L251" t="str">
            <v>FT</v>
          </cell>
          <cell r="O251">
            <v>43725.815679999992</v>
          </cell>
        </row>
        <row r="252">
          <cell r="E252">
            <v>103050</v>
          </cell>
          <cell r="L252" t="str">
            <v>FT</v>
          </cell>
          <cell r="O252">
            <v>51395.49</v>
          </cell>
        </row>
        <row r="253">
          <cell r="E253">
            <v>40108110</v>
          </cell>
          <cell r="L253" t="str">
            <v>FT</v>
          </cell>
          <cell r="O253">
            <v>61180.488989999998</v>
          </cell>
        </row>
        <row r="254">
          <cell r="E254">
            <v>112040</v>
          </cell>
          <cell r="L254" t="str">
            <v>FT</v>
          </cell>
          <cell r="O254">
            <v>88149.784410000007</v>
          </cell>
        </row>
        <row r="255">
          <cell r="E255">
            <v>10408300</v>
          </cell>
          <cell r="L255" t="str">
            <v>FT</v>
          </cell>
          <cell r="O255">
            <v>36675.786950000002</v>
          </cell>
        </row>
        <row r="256">
          <cell r="E256">
            <v>112010</v>
          </cell>
          <cell r="L256" t="str">
            <v>FT</v>
          </cell>
          <cell r="O256">
            <v>67239.240589999987</v>
          </cell>
        </row>
        <row r="257">
          <cell r="E257">
            <v>109070</v>
          </cell>
          <cell r="L257" t="str">
            <v>FT</v>
          </cell>
          <cell r="O257">
            <v>36299.506370000003</v>
          </cell>
        </row>
        <row r="258">
          <cell r="E258">
            <v>105050</v>
          </cell>
          <cell r="L258" t="str">
            <v>FT</v>
          </cell>
          <cell r="O258">
            <v>69324.826270000005</v>
          </cell>
        </row>
        <row r="259">
          <cell r="E259">
            <v>105040</v>
          </cell>
          <cell r="L259" t="str">
            <v>FT</v>
          </cell>
          <cell r="O259">
            <v>67250.696559999997</v>
          </cell>
        </row>
        <row r="260">
          <cell r="E260">
            <v>105040</v>
          </cell>
          <cell r="L260" t="str">
            <v>FT</v>
          </cell>
          <cell r="O260">
            <v>67251.553950000001</v>
          </cell>
        </row>
        <row r="261">
          <cell r="E261">
            <v>109070</v>
          </cell>
          <cell r="L261" t="str">
            <v>FT</v>
          </cell>
          <cell r="O261">
            <v>43347.541409999998</v>
          </cell>
        </row>
        <row r="262">
          <cell r="E262">
            <v>40108110</v>
          </cell>
          <cell r="L262" t="str">
            <v>FT</v>
          </cell>
          <cell r="O262">
            <v>56376.884039999983</v>
          </cell>
        </row>
        <row r="263">
          <cell r="E263">
            <v>105040</v>
          </cell>
          <cell r="L263" t="str">
            <v>FT</v>
          </cell>
          <cell r="O263">
            <v>68652.539539999998</v>
          </cell>
        </row>
        <row r="264">
          <cell r="E264">
            <v>109070</v>
          </cell>
          <cell r="L264" t="str">
            <v>P1</v>
          </cell>
          <cell r="O264">
            <v>17651.077599999997</v>
          </cell>
        </row>
        <row r="265">
          <cell r="E265">
            <v>109160</v>
          </cell>
          <cell r="L265" t="str">
            <v>FT</v>
          </cell>
          <cell r="O265">
            <v>57960.927559999996</v>
          </cell>
        </row>
        <row r="266">
          <cell r="E266">
            <v>105030</v>
          </cell>
          <cell r="L266" t="str">
            <v>FT</v>
          </cell>
          <cell r="O266">
            <v>60590.284440000003</v>
          </cell>
        </row>
        <row r="267">
          <cell r="E267">
            <v>112040</v>
          </cell>
          <cell r="L267" t="str">
            <v>FT</v>
          </cell>
          <cell r="O267">
            <v>87704.086230000001</v>
          </cell>
        </row>
        <row r="268">
          <cell r="E268">
            <v>105030</v>
          </cell>
          <cell r="L268" t="str">
            <v>FT</v>
          </cell>
          <cell r="O268">
            <v>69840.861420000001</v>
          </cell>
        </row>
        <row r="269">
          <cell r="E269">
            <v>105040</v>
          </cell>
          <cell r="L269" t="str">
            <v>FT</v>
          </cell>
          <cell r="O269">
            <v>67928.458189999976</v>
          </cell>
        </row>
        <row r="270">
          <cell r="E270">
            <v>112040</v>
          </cell>
          <cell r="L270" t="str">
            <v>FT</v>
          </cell>
          <cell r="O270">
            <v>63855.204900000004</v>
          </cell>
        </row>
        <row r="271">
          <cell r="E271">
            <v>101060</v>
          </cell>
          <cell r="L271" t="str">
            <v>FT</v>
          </cell>
          <cell r="O271">
            <v>185940</v>
          </cell>
        </row>
        <row r="272">
          <cell r="E272">
            <v>109200</v>
          </cell>
          <cell r="L272" t="str">
            <v>FT</v>
          </cell>
          <cell r="O272">
            <v>39386.792150000001</v>
          </cell>
        </row>
        <row r="273">
          <cell r="E273">
            <v>105030</v>
          </cell>
          <cell r="L273" t="str">
            <v>FT</v>
          </cell>
          <cell r="O273">
            <v>71381.715209999995</v>
          </cell>
        </row>
        <row r="274">
          <cell r="E274">
            <v>105030</v>
          </cell>
          <cell r="L274" t="str">
            <v>FT</v>
          </cell>
          <cell r="O274">
            <v>46741.173669999989</v>
          </cell>
        </row>
        <row r="275">
          <cell r="E275">
            <v>109070</v>
          </cell>
          <cell r="L275" t="str">
            <v>P1</v>
          </cell>
          <cell r="O275">
            <v>16638.530999999999</v>
          </cell>
        </row>
        <row r="276">
          <cell r="E276">
            <v>40108180</v>
          </cell>
          <cell r="L276" t="str">
            <v>FT</v>
          </cell>
          <cell r="O276">
            <v>44593.649309999993</v>
          </cell>
        </row>
        <row r="277">
          <cell r="E277">
            <v>105030</v>
          </cell>
          <cell r="L277" t="str">
            <v>FT</v>
          </cell>
          <cell r="O277">
            <v>45406.021169999993</v>
          </cell>
        </row>
        <row r="278">
          <cell r="E278">
            <v>109110</v>
          </cell>
          <cell r="L278" t="str">
            <v>FT</v>
          </cell>
          <cell r="O278">
            <v>39749.839999999997</v>
          </cell>
        </row>
        <row r="279">
          <cell r="E279">
            <v>101060</v>
          </cell>
          <cell r="L279" t="str">
            <v>FT</v>
          </cell>
          <cell r="O279">
            <v>70244</v>
          </cell>
        </row>
        <row r="280">
          <cell r="E280">
            <v>105030</v>
          </cell>
          <cell r="L280" t="str">
            <v>FT</v>
          </cell>
          <cell r="O280">
            <v>68394.227559999999</v>
          </cell>
        </row>
        <row r="281">
          <cell r="E281">
            <v>105040</v>
          </cell>
          <cell r="L281" t="str">
            <v>FT</v>
          </cell>
          <cell r="O281">
            <v>68758.484019999989</v>
          </cell>
        </row>
        <row r="282">
          <cell r="E282">
            <v>105030</v>
          </cell>
          <cell r="L282" t="str">
            <v>FT</v>
          </cell>
          <cell r="O282">
            <v>68563.87715</v>
          </cell>
        </row>
        <row r="283">
          <cell r="E283">
            <v>105030</v>
          </cell>
          <cell r="L283" t="str">
            <v>FT</v>
          </cell>
          <cell r="O283">
            <v>70185.997050000005</v>
          </cell>
        </row>
        <row r="284">
          <cell r="E284">
            <v>105030</v>
          </cell>
          <cell r="L284" t="str">
            <v>FT</v>
          </cell>
          <cell r="O284">
            <v>68772.388199999972</v>
          </cell>
        </row>
        <row r="285">
          <cell r="E285">
            <v>40108100</v>
          </cell>
          <cell r="L285" t="str">
            <v>FT</v>
          </cell>
          <cell r="O285">
            <v>37798.978180000006</v>
          </cell>
        </row>
        <row r="286">
          <cell r="E286">
            <v>101040</v>
          </cell>
          <cell r="L286" t="str">
            <v>FT</v>
          </cell>
          <cell r="O286">
            <v>149062.54045999999</v>
          </cell>
        </row>
        <row r="287">
          <cell r="E287">
            <v>112040</v>
          </cell>
          <cell r="L287" t="str">
            <v>FT</v>
          </cell>
          <cell r="O287">
            <v>55441.120329999998</v>
          </cell>
        </row>
        <row r="288">
          <cell r="E288">
            <v>112050</v>
          </cell>
          <cell r="L288" t="str">
            <v>FT</v>
          </cell>
          <cell r="O288">
            <v>60536.971309999994</v>
          </cell>
        </row>
        <row r="289">
          <cell r="E289">
            <v>40108110</v>
          </cell>
          <cell r="L289" t="str">
            <v>FT</v>
          </cell>
          <cell r="O289">
            <v>54630.39093999999</v>
          </cell>
        </row>
        <row r="290">
          <cell r="E290">
            <v>112020</v>
          </cell>
          <cell r="L290" t="str">
            <v>FT</v>
          </cell>
          <cell r="O290">
            <v>77508.055999999997</v>
          </cell>
        </row>
        <row r="291">
          <cell r="E291">
            <v>105050</v>
          </cell>
          <cell r="L291" t="str">
            <v>FT</v>
          </cell>
          <cell r="O291">
            <v>67567.693269999989</v>
          </cell>
        </row>
        <row r="292">
          <cell r="E292">
            <v>40108110</v>
          </cell>
          <cell r="L292" t="str">
            <v>FT</v>
          </cell>
          <cell r="O292">
            <v>55424.933219999999</v>
          </cell>
        </row>
        <row r="293">
          <cell r="E293">
            <v>40108110</v>
          </cell>
          <cell r="L293" t="str">
            <v>FT</v>
          </cell>
          <cell r="O293">
            <v>68824.585689999978</v>
          </cell>
        </row>
        <row r="294">
          <cell r="E294">
            <v>109160</v>
          </cell>
          <cell r="L294" t="str">
            <v>FT</v>
          </cell>
          <cell r="O294">
            <v>46364.862099999991</v>
          </cell>
        </row>
        <row r="295">
          <cell r="E295">
            <v>107010</v>
          </cell>
          <cell r="L295" t="str">
            <v>FT</v>
          </cell>
          <cell r="O295">
            <v>55865.001550000001</v>
          </cell>
        </row>
        <row r="296">
          <cell r="E296">
            <v>103010</v>
          </cell>
          <cell r="L296" t="str">
            <v>FT</v>
          </cell>
          <cell r="O296">
            <v>158209.95173</v>
          </cell>
        </row>
        <row r="297">
          <cell r="E297">
            <v>105050</v>
          </cell>
          <cell r="L297" t="str">
            <v>FT</v>
          </cell>
          <cell r="O297">
            <v>65595.499999999985</v>
          </cell>
        </row>
        <row r="298">
          <cell r="E298">
            <v>109160</v>
          </cell>
          <cell r="L298" t="str">
            <v>FT</v>
          </cell>
          <cell r="O298">
            <v>60591.647999999994</v>
          </cell>
        </row>
        <row r="299">
          <cell r="E299">
            <v>105040</v>
          </cell>
          <cell r="L299" t="str">
            <v>FT</v>
          </cell>
          <cell r="O299">
            <v>66423.97632999999</v>
          </cell>
        </row>
        <row r="300">
          <cell r="E300">
            <v>105040</v>
          </cell>
          <cell r="L300" t="str">
            <v>FT</v>
          </cell>
          <cell r="O300">
            <v>67299.164919999981</v>
          </cell>
        </row>
        <row r="301">
          <cell r="E301">
            <v>107010</v>
          </cell>
          <cell r="L301" t="str">
            <v>FT</v>
          </cell>
          <cell r="O301">
            <v>67979.560699999987</v>
          </cell>
        </row>
        <row r="302">
          <cell r="E302">
            <v>40108180</v>
          </cell>
          <cell r="L302" t="str">
            <v>FT</v>
          </cell>
          <cell r="O302">
            <v>58063.504460000004</v>
          </cell>
        </row>
        <row r="303">
          <cell r="E303">
            <v>109200</v>
          </cell>
          <cell r="L303" t="str">
            <v>FT</v>
          </cell>
          <cell r="O303">
            <v>38186.590769999995</v>
          </cell>
        </row>
        <row r="304">
          <cell r="E304">
            <v>40108110</v>
          </cell>
          <cell r="L304" t="str">
            <v>FT</v>
          </cell>
          <cell r="O304">
            <v>127059</v>
          </cell>
        </row>
        <row r="305">
          <cell r="E305">
            <v>109200</v>
          </cell>
          <cell r="L305" t="str">
            <v>FT</v>
          </cell>
          <cell r="O305">
            <v>38381.538529999998</v>
          </cell>
        </row>
        <row r="306">
          <cell r="E306">
            <v>103040</v>
          </cell>
          <cell r="L306" t="str">
            <v>FT</v>
          </cell>
          <cell r="O306">
            <v>92616.321459999992</v>
          </cell>
        </row>
        <row r="307">
          <cell r="E307">
            <v>112050</v>
          </cell>
          <cell r="L307" t="str">
            <v>FT</v>
          </cell>
          <cell r="O307">
            <v>74641.821889999992</v>
          </cell>
        </row>
        <row r="308">
          <cell r="E308">
            <v>10408300</v>
          </cell>
          <cell r="L308" t="str">
            <v>FT</v>
          </cell>
          <cell r="O308">
            <v>63974.795310000001</v>
          </cell>
        </row>
        <row r="309">
          <cell r="E309">
            <v>109070</v>
          </cell>
          <cell r="L309" t="str">
            <v>P1</v>
          </cell>
          <cell r="O309">
            <v>22063.846999999998</v>
          </cell>
        </row>
        <row r="310">
          <cell r="E310">
            <v>101040</v>
          </cell>
          <cell r="L310" t="str">
            <v>FT</v>
          </cell>
          <cell r="O310">
            <v>55019.625339999999</v>
          </cell>
        </row>
        <row r="311">
          <cell r="E311">
            <v>105050</v>
          </cell>
          <cell r="L311" t="str">
            <v>FT</v>
          </cell>
          <cell r="O311">
            <v>65595.499999999985</v>
          </cell>
        </row>
        <row r="312">
          <cell r="E312">
            <v>112010</v>
          </cell>
          <cell r="L312" t="str">
            <v>FT</v>
          </cell>
          <cell r="O312">
            <v>63932.834849999985</v>
          </cell>
        </row>
        <row r="313">
          <cell r="E313">
            <v>101010</v>
          </cell>
          <cell r="L313" t="str">
            <v>FT</v>
          </cell>
          <cell r="O313">
            <v>91103.193389999986</v>
          </cell>
        </row>
        <row r="314">
          <cell r="E314">
            <v>109160</v>
          </cell>
          <cell r="L314" t="str">
            <v>FT</v>
          </cell>
          <cell r="O314">
            <v>43417.764749999995</v>
          </cell>
        </row>
        <row r="315">
          <cell r="E315">
            <v>109040</v>
          </cell>
          <cell r="L315" t="str">
            <v>FT</v>
          </cell>
          <cell r="O315">
            <v>50937.984089999998</v>
          </cell>
        </row>
        <row r="316">
          <cell r="E316">
            <v>105050</v>
          </cell>
          <cell r="L316" t="str">
            <v>FT</v>
          </cell>
          <cell r="O316">
            <v>67434.332969999989</v>
          </cell>
        </row>
        <row r="317">
          <cell r="E317">
            <v>105050</v>
          </cell>
          <cell r="L317" t="str">
            <v>FT</v>
          </cell>
          <cell r="O317">
            <v>65595.499999999985</v>
          </cell>
        </row>
        <row r="318">
          <cell r="E318">
            <v>105040</v>
          </cell>
          <cell r="L318" t="str">
            <v>FT</v>
          </cell>
          <cell r="O318">
            <v>68028.018729999996</v>
          </cell>
        </row>
        <row r="319">
          <cell r="E319">
            <v>40108110</v>
          </cell>
          <cell r="L319" t="str">
            <v>FT</v>
          </cell>
          <cell r="O319">
            <v>122926.99999999999</v>
          </cell>
        </row>
        <row r="320">
          <cell r="E320">
            <v>40408010</v>
          </cell>
          <cell r="L320" t="str">
            <v>FT</v>
          </cell>
          <cell r="O320">
            <v>45950.195239999994</v>
          </cell>
        </row>
        <row r="321">
          <cell r="E321">
            <v>103040</v>
          </cell>
          <cell r="L321" t="str">
            <v>FT</v>
          </cell>
          <cell r="O321">
            <v>53964.870360000001</v>
          </cell>
        </row>
        <row r="322">
          <cell r="E322">
            <v>12113010</v>
          </cell>
          <cell r="L322" t="str">
            <v>FT</v>
          </cell>
          <cell r="O322">
            <v>61463.499999999993</v>
          </cell>
        </row>
        <row r="323">
          <cell r="E323">
            <v>40108110</v>
          </cell>
          <cell r="L323" t="str">
            <v>FT</v>
          </cell>
          <cell r="O323">
            <v>53900.245880000002</v>
          </cell>
        </row>
        <row r="324">
          <cell r="E324">
            <v>10408300</v>
          </cell>
          <cell r="L324" t="str">
            <v>FT</v>
          </cell>
          <cell r="O324">
            <v>35119.851360000001</v>
          </cell>
        </row>
        <row r="325">
          <cell r="E325">
            <v>107010</v>
          </cell>
          <cell r="L325" t="str">
            <v>FT</v>
          </cell>
          <cell r="O325">
            <v>101233.99999999999</v>
          </cell>
        </row>
        <row r="326">
          <cell r="E326">
            <v>112020</v>
          </cell>
          <cell r="L326" t="str">
            <v>FT</v>
          </cell>
          <cell r="O326">
            <v>45473.971909999993</v>
          </cell>
        </row>
        <row r="327">
          <cell r="E327">
            <v>102010</v>
          </cell>
          <cell r="L327" t="str">
            <v>FT</v>
          </cell>
          <cell r="O327">
            <v>48425.449179999996</v>
          </cell>
        </row>
        <row r="328">
          <cell r="E328">
            <v>112050</v>
          </cell>
          <cell r="L328" t="str">
            <v>P1</v>
          </cell>
          <cell r="O328">
            <v>18306.412799999998</v>
          </cell>
        </row>
        <row r="329">
          <cell r="E329">
            <v>109030</v>
          </cell>
          <cell r="L329" t="str">
            <v>FT</v>
          </cell>
          <cell r="O329">
            <v>37064.04</v>
          </cell>
        </row>
        <row r="330">
          <cell r="E330">
            <v>105050</v>
          </cell>
          <cell r="L330" t="str">
            <v>FT</v>
          </cell>
          <cell r="O330">
            <v>65595.499999999985</v>
          </cell>
        </row>
        <row r="331">
          <cell r="E331">
            <v>105040</v>
          </cell>
          <cell r="L331" t="str">
            <v>FT</v>
          </cell>
          <cell r="O331">
            <v>65595.499999999985</v>
          </cell>
        </row>
        <row r="332">
          <cell r="E332">
            <v>105050</v>
          </cell>
          <cell r="L332" t="str">
            <v>FT</v>
          </cell>
          <cell r="O332">
            <v>65595.499999999985</v>
          </cell>
        </row>
        <row r="333">
          <cell r="E333">
            <v>40108140</v>
          </cell>
          <cell r="L333" t="str">
            <v>FT</v>
          </cell>
          <cell r="O333">
            <v>74067.050359999994</v>
          </cell>
        </row>
        <row r="334">
          <cell r="E334">
            <v>108040</v>
          </cell>
          <cell r="L334" t="str">
            <v>FT</v>
          </cell>
          <cell r="O334">
            <v>45383.945960000005</v>
          </cell>
        </row>
        <row r="335">
          <cell r="E335">
            <v>109030</v>
          </cell>
          <cell r="L335" t="str">
            <v>FT</v>
          </cell>
          <cell r="O335">
            <v>52504.105060000002</v>
          </cell>
        </row>
        <row r="336">
          <cell r="E336">
            <v>107010</v>
          </cell>
          <cell r="L336" t="str">
            <v>FT</v>
          </cell>
          <cell r="O336">
            <v>163739.63172</v>
          </cell>
        </row>
        <row r="337">
          <cell r="E337">
            <v>113010</v>
          </cell>
          <cell r="L337" t="str">
            <v>FT</v>
          </cell>
          <cell r="O337">
            <v>53997.4925</v>
          </cell>
        </row>
        <row r="338">
          <cell r="E338">
            <v>101010</v>
          </cell>
          <cell r="L338" t="str">
            <v>FT</v>
          </cell>
          <cell r="O338">
            <v>6198.0288785479997</v>
          </cell>
        </row>
        <row r="339">
          <cell r="E339">
            <v>109040</v>
          </cell>
          <cell r="L339" t="str">
            <v>FT</v>
          </cell>
          <cell r="O339">
            <v>43585.761539999992</v>
          </cell>
        </row>
        <row r="340">
          <cell r="E340">
            <v>101010</v>
          </cell>
          <cell r="L340" t="str">
            <v>FT</v>
          </cell>
          <cell r="O340">
            <v>6198.0288785479997</v>
          </cell>
        </row>
        <row r="341">
          <cell r="E341">
            <v>40108100</v>
          </cell>
          <cell r="L341" t="str">
            <v>FT</v>
          </cell>
          <cell r="O341">
            <v>87586.603140000007</v>
          </cell>
        </row>
        <row r="342">
          <cell r="E342">
            <v>105050</v>
          </cell>
          <cell r="L342" t="str">
            <v>FT</v>
          </cell>
          <cell r="O342">
            <v>65595.499999999985</v>
          </cell>
        </row>
        <row r="343">
          <cell r="E343">
            <v>105040</v>
          </cell>
          <cell r="L343" t="str">
            <v>FT</v>
          </cell>
          <cell r="O343">
            <v>65595.499999999985</v>
          </cell>
        </row>
        <row r="344">
          <cell r="E344">
            <v>105050</v>
          </cell>
          <cell r="L344" t="str">
            <v>FT</v>
          </cell>
          <cell r="O344">
            <v>65595.499999999985</v>
          </cell>
        </row>
        <row r="345">
          <cell r="E345">
            <v>40408010</v>
          </cell>
          <cell r="L345" t="str">
            <v>FT</v>
          </cell>
          <cell r="O345">
            <v>43632.432479999996</v>
          </cell>
        </row>
        <row r="346">
          <cell r="E346">
            <v>112020</v>
          </cell>
          <cell r="L346" t="str">
            <v>FT</v>
          </cell>
          <cell r="O346">
            <v>70271.890999999989</v>
          </cell>
        </row>
        <row r="347">
          <cell r="E347">
            <v>109160</v>
          </cell>
          <cell r="L347" t="str">
            <v>FT</v>
          </cell>
          <cell r="O347">
            <v>37632.004059999992</v>
          </cell>
        </row>
        <row r="348">
          <cell r="E348">
            <v>40408010</v>
          </cell>
          <cell r="L348" t="str">
            <v>FT</v>
          </cell>
          <cell r="O348">
            <v>43868.782879999999</v>
          </cell>
        </row>
        <row r="349">
          <cell r="E349">
            <v>105050</v>
          </cell>
          <cell r="L349" t="str">
            <v>FT</v>
          </cell>
          <cell r="O349">
            <v>65595.499999999985</v>
          </cell>
        </row>
        <row r="350">
          <cell r="E350">
            <v>102010</v>
          </cell>
          <cell r="L350" t="str">
            <v>FT</v>
          </cell>
          <cell r="O350">
            <v>45123.671280000002</v>
          </cell>
        </row>
        <row r="351">
          <cell r="E351">
            <v>2511010</v>
          </cell>
          <cell r="L351" t="str">
            <v>FT</v>
          </cell>
          <cell r="O351">
            <v>37248.781719999999</v>
          </cell>
        </row>
        <row r="352">
          <cell r="E352">
            <v>109160</v>
          </cell>
          <cell r="L352" t="str">
            <v>FT</v>
          </cell>
          <cell r="O352">
            <v>37773.091200000003</v>
          </cell>
        </row>
        <row r="353">
          <cell r="E353">
            <v>109200</v>
          </cell>
          <cell r="L353" t="str">
            <v>FT</v>
          </cell>
          <cell r="O353">
            <v>47805.029379999993</v>
          </cell>
        </row>
        <row r="354">
          <cell r="E354">
            <v>105040</v>
          </cell>
          <cell r="L354" t="str">
            <v>FT</v>
          </cell>
          <cell r="O354">
            <v>65595.499999999985</v>
          </cell>
        </row>
        <row r="355">
          <cell r="E355">
            <v>105050</v>
          </cell>
          <cell r="L355" t="str">
            <v>FT</v>
          </cell>
          <cell r="O355">
            <v>37846.175949999997</v>
          </cell>
        </row>
        <row r="356">
          <cell r="E356">
            <v>109200</v>
          </cell>
          <cell r="L356" t="str">
            <v>FT</v>
          </cell>
          <cell r="O356">
            <v>35329.663989999994</v>
          </cell>
        </row>
        <row r="357">
          <cell r="E357">
            <v>102010</v>
          </cell>
          <cell r="L357" t="str">
            <v>FT</v>
          </cell>
          <cell r="O357">
            <v>40609.295999999995</v>
          </cell>
        </row>
        <row r="358">
          <cell r="E358">
            <v>40408010</v>
          </cell>
          <cell r="L358" t="str">
            <v>FT</v>
          </cell>
          <cell r="O358">
            <v>43435.129479999996</v>
          </cell>
        </row>
        <row r="359">
          <cell r="E359">
            <v>40108100</v>
          </cell>
          <cell r="L359" t="str">
            <v>FT</v>
          </cell>
          <cell r="O359">
            <v>49954.846999999994</v>
          </cell>
        </row>
        <row r="360">
          <cell r="E360">
            <v>40108100</v>
          </cell>
          <cell r="L360" t="str">
            <v>FT</v>
          </cell>
          <cell r="O360">
            <v>59269.583609999987</v>
          </cell>
        </row>
        <row r="361">
          <cell r="E361">
            <v>105050</v>
          </cell>
          <cell r="L361" t="str">
            <v>FT</v>
          </cell>
          <cell r="O361">
            <v>65595.499999999985</v>
          </cell>
        </row>
        <row r="362">
          <cell r="E362">
            <v>105050</v>
          </cell>
          <cell r="L362" t="str">
            <v>FT</v>
          </cell>
          <cell r="O362">
            <v>65595.499999999985</v>
          </cell>
        </row>
        <row r="363">
          <cell r="E363">
            <v>40108140</v>
          </cell>
          <cell r="L363" t="str">
            <v>FT</v>
          </cell>
          <cell r="O363">
            <v>39069.537189999995</v>
          </cell>
        </row>
        <row r="364">
          <cell r="E364">
            <v>40108090</v>
          </cell>
          <cell r="L364" t="str">
            <v>FT</v>
          </cell>
          <cell r="O364">
            <v>134220.72701999999</v>
          </cell>
        </row>
        <row r="365">
          <cell r="E365">
            <v>109030</v>
          </cell>
          <cell r="L365" t="str">
            <v>FT</v>
          </cell>
          <cell r="O365">
            <v>42129.365830000002</v>
          </cell>
        </row>
        <row r="366">
          <cell r="E366">
            <v>40108140</v>
          </cell>
          <cell r="L366" t="str">
            <v>FT</v>
          </cell>
          <cell r="O366">
            <v>36526.880000000005</v>
          </cell>
        </row>
        <row r="367">
          <cell r="E367">
            <v>40108110</v>
          </cell>
          <cell r="L367" t="str">
            <v>FT</v>
          </cell>
          <cell r="O367">
            <v>51740.811029999997</v>
          </cell>
        </row>
        <row r="368">
          <cell r="E368">
            <v>40108060</v>
          </cell>
          <cell r="L368" t="str">
            <v>FT</v>
          </cell>
          <cell r="O368">
            <v>39126.734400000001</v>
          </cell>
        </row>
        <row r="369">
          <cell r="E369">
            <v>103030</v>
          </cell>
          <cell r="L369" t="str">
            <v>FT</v>
          </cell>
          <cell r="O369">
            <v>52683</v>
          </cell>
        </row>
        <row r="370">
          <cell r="E370">
            <v>40108140</v>
          </cell>
          <cell r="L370" t="str">
            <v>FT</v>
          </cell>
          <cell r="O370">
            <v>37366.016889999992</v>
          </cell>
        </row>
        <row r="371">
          <cell r="E371">
            <v>105050</v>
          </cell>
          <cell r="L371" t="str">
            <v>FT</v>
          </cell>
          <cell r="O371">
            <v>65595.499999999985</v>
          </cell>
        </row>
        <row r="372">
          <cell r="E372">
            <v>105050</v>
          </cell>
          <cell r="L372" t="str">
            <v>FT</v>
          </cell>
          <cell r="O372">
            <v>65595.499999999985</v>
          </cell>
        </row>
        <row r="373">
          <cell r="E373">
            <v>105050</v>
          </cell>
          <cell r="L373" t="str">
            <v>FT</v>
          </cell>
          <cell r="O373">
            <v>65595.499999999985</v>
          </cell>
        </row>
        <row r="374">
          <cell r="E374">
            <v>105050</v>
          </cell>
          <cell r="L374" t="str">
            <v>FT</v>
          </cell>
          <cell r="O374">
            <v>65595.499999999985</v>
          </cell>
        </row>
        <row r="375">
          <cell r="E375">
            <v>105050</v>
          </cell>
          <cell r="L375" t="str">
            <v>FT</v>
          </cell>
          <cell r="O375">
            <v>65595.499999999985</v>
          </cell>
        </row>
        <row r="376">
          <cell r="E376">
            <v>40108100</v>
          </cell>
          <cell r="L376" t="str">
            <v>FT</v>
          </cell>
          <cell r="O376">
            <v>142323.19680999999</v>
          </cell>
        </row>
        <row r="377">
          <cell r="E377">
            <v>12113010</v>
          </cell>
          <cell r="L377" t="str">
            <v>FT</v>
          </cell>
          <cell r="O377">
            <v>41942.124249999993</v>
          </cell>
        </row>
        <row r="378">
          <cell r="E378">
            <v>109160</v>
          </cell>
          <cell r="L378" t="str">
            <v>FT</v>
          </cell>
          <cell r="O378">
            <v>47337.410939999994</v>
          </cell>
        </row>
        <row r="379">
          <cell r="E379">
            <v>107010</v>
          </cell>
          <cell r="L379" t="str">
            <v>FT</v>
          </cell>
          <cell r="O379">
            <v>42134.820070000002</v>
          </cell>
        </row>
        <row r="380">
          <cell r="E380">
            <v>103030</v>
          </cell>
          <cell r="L380" t="str">
            <v>FT</v>
          </cell>
          <cell r="O380">
            <v>53794.022490000003</v>
          </cell>
        </row>
        <row r="381">
          <cell r="E381">
            <v>108040</v>
          </cell>
          <cell r="L381" t="str">
            <v>FT</v>
          </cell>
          <cell r="O381">
            <v>45590.618269999999</v>
          </cell>
        </row>
        <row r="382">
          <cell r="E382">
            <v>109030</v>
          </cell>
          <cell r="L382" t="str">
            <v>FT</v>
          </cell>
          <cell r="O382">
            <v>43286.831999999995</v>
          </cell>
        </row>
        <row r="383">
          <cell r="E383">
            <v>105050</v>
          </cell>
          <cell r="L383" t="str">
            <v>FT</v>
          </cell>
          <cell r="O383">
            <v>65595.499999999985</v>
          </cell>
        </row>
        <row r="384">
          <cell r="E384">
            <v>109200</v>
          </cell>
          <cell r="L384" t="str">
            <v>FT</v>
          </cell>
          <cell r="O384">
            <v>36023.488770000004</v>
          </cell>
        </row>
        <row r="385">
          <cell r="E385">
            <v>102010</v>
          </cell>
          <cell r="L385" t="str">
            <v>FT</v>
          </cell>
          <cell r="O385">
            <v>42145.997129999989</v>
          </cell>
        </row>
        <row r="386">
          <cell r="E386">
            <v>105050</v>
          </cell>
          <cell r="L386" t="str">
            <v>FT</v>
          </cell>
          <cell r="O386">
            <v>65595.499999999985</v>
          </cell>
        </row>
        <row r="387">
          <cell r="E387">
            <v>105060</v>
          </cell>
          <cell r="L387" t="str">
            <v>FT</v>
          </cell>
          <cell r="O387">
            <v>36369.791689999998</v>
          </cell>
        </row>
        <row r="388">
          <cell r="E388">
            <v>40108060</v>
          </cell>
          <cell r="L388" t="str">
            <v>FT</v>
          </cell>
          <cell r="O388">
            <v>37601.199999999997</v>
          </cell>
        </row>
        <row r="389">
          <cell r="E389">
            <v>109160</v>
          </cell>
          <cell r="L389" t="str">
            <v>FT</v>
          </cell>
          <cell r="O389">
            <v>62654.931210000002</v>
          </cell>
        </row>
        <row r="390">
          <cell r="E390">
            <v>109070</v>
          </cell>
          <cell r="L390" t="str">
            <v>FT</v>
          </cell>
          <cell r="O390">
            <v>63280.175119999993</v>
          </cell>
        </row>
        <row r="391">
          <cell r="E391">
            <v>40108100</v>
          </cell>
          <cell r="L391" t="str">
            <v>FT</v>
          </cell>
          <cell r="O391">
            <v>60946.999999999993</v>
          </cell>
        </row>
        <row r="392">
          <cell r="E392">
            <v>109070</v>
          </cell>
          <cell r="L392" t="str">
            <v>FT</v>
          </cell>
          <cell r="O392">
            <v>67145</v>
          </cell>
        </row>
        <row r="393">
          <cell r="E393">
            <v>112040</v>
          </cell>
          <cell r="L393" t="str">
            <v>FT</v>
          </cell>
          <cell r="O393">
            <v>56815</v>
          </cell>
        </row>
        <row r="394">
          <cell r="E394">
            <v>105050</v>
          </cell>
          <cell r="L394" t="str">
            <v>FT</v>
          </cell>
          <cell r="O394">
            <v>65595.499999999985</v>
          </cell>
        </row>
        <row r="395">
          <cell r="E395">
            <v>107010</v>
          </cell>
          <cell r="L395" t="str">
            <v>FT</v>
          </cell>
          <cell r="O395">
            <v>86772</v>
          </cell>
        </row>
        <row r="396">
          <cell r="E396">
            <v>40408010</v>
          </cell>
          <cell r="L396" t="str">
            <v>FT</v>
          </cell>
          <cell r="O396">
            <v>41319.999999999993</v>
          </cell>
        </row>
        <row r="397">
          <cell r="E397">
            <v>40408010</v>
          </cell>
          <cell r="L397" t="str">
            <v>FT</v>
          </cell>
          <cell r="O397">
            <v>41319.999999999993</v>
          </cell>
        </row>
        <row r="398">
          <cell r="E398">
            <v>40408010</v>
          </cell>
          <cell r="L398" t="str">
            <v>FT</v>
          </cell>
          <cell r="O398">
            <v>39254</v>
          </cell>
        </row>
        <row r="399">
          <cell r="E399">
            <v>12113010</v>
          </cell>
          <cell r="L399" t="str">
            <v>FT</v>
          </cell>
          <cell r="O399">
            <v>70760.499999999985</v>
          </cell>
        </row>
        <row r="400">
          <cell r="E400">
            <v>105050</v>
          </cell>
          <cell r="L400" t="str">
            <v>FT</v>
          </cell>
          <cell r="O400">
            <v>65595.499999999985</v>
          </cell>
        </row>
        <row r="401">
          <cell r="E401">
            <v>40108180</v>
          </cell>
          <cell r="L401" t="str">
            <v>FT</v>
          </cell>
          <cell r="O401">
            <v>40587.809599999986</v>
          </cell>
        </row>
        <row r="402">
          <cell r="E402">
            <v>40108180</v>
          </cell>
          <cell r="L402" t="str">
            <v>FT</v>
          </cell>
          <cell r="O402">
            <v>41361.32</v>
          </cell>
        </row>
        <row r="403">
          <cell r="E403">
            <v>105050</v>
          </cell>
          <cell r="L403" t="str">
            <v>FT</v>
          </cell>
          <cell r="O403">
            <v>65595.499999999985</v>
          </cell>
        </row>
        <row r="404">
          <cell r="E404">
            <v>105050</v>
          </cell>
          <cell r="L404" t="str">
            <v>FT</v>
          </cell>
          <cell r="O404">
            <v>65595.499999999985</v>
          </cell>
        </row>
        <row r="405">
          <cell r="E405">
            <v>40108140</v>
          </cell>
          <cell r="L405" t="str">
            <v>FT</v>
          </cell>
          <cell r="O405">
            <v>37601.199999999997</v>
          </cell>
        </row>
        <row r="406">
          <cell r="E406">
            <v>109200</v>
          </cell>
          <cell r="L406" t="str">
            <v>FT</v>
          </cell>
          <cell r="O406">
            <v>35301.741999999991</v>
          </cell>
        </row>
        <row r="407">
          <cell r="E407">
            <v>105050</v>
          </cell>
          <cell r="L407" t="str">
            <v>FT</v>
          </cell>
          <cell r="O407">
            <v>67310.434949999995</v>
          </cell>
        </row>
        <row r="408">
          <cell r="E408">
            <v>40108140</v>
          </cell>
          <cell r="L408" t="str">
            <v>FT</v>
          </cell>
          <cell r="O408">
            <v>45738.450899999996</v>
          </cell>
        </row>
        <row r="409">
          <cell r="E409">
            <v>40408010</v>
          </cell>
          <cell r="L409" t="str">
            <v>FT</v>
          </cell>
          <cell r="O409">
            <v>41319.999999999993</v>
          </cell>
        </row>
        <row r="410">
          <cell r="E410">
            <v>112050</v>
          </cell>
          <cell r="L410" t="str">
            <v>FT</v>
          </cell>
          <cell r="O410">
            <v>36526.880000000005</v>
          </cell>
        </row>
        <row r="411">
          <cell r="E411">
            <v>40108190</v>
          </cell>
          <cell r="L411" t="str">
            <v>FT</v>
          </cell>
          <cell r="O411">
            <v>49583.999999999993</v>
          </cell>
        </row>
        <row r="412">
          <cell r="E412">
            <v>103040</v>
          </cell>
          <cell r="L412" t="str">
            <v>FT</v>
          </cell>
          <cell r="O412">
            <v>38353.224000000009</v>
          </cell>
        </row>
        <row r="413">
          <cell r="E413">
            <v>101040</v>
          </cell>
          <cell r="L413" t="str">
            <v>FT</v>
          </cell>
          <cell r="O413">
            <v>57848.000000000007</v>
          </cell>
        </row>
        <row r="414">
          <cell r="E414">
            <v>109030</v>
          </cell>
          <cell r="L414" t="str">
            <v>FT</v>
          </cell>
          <cell r="O414">
            <v>36526.880000000005</v>
          </cell>
        </row>
        <row r="415">
          <cell r="E415">
            <v>109160</v>
          </cell>
          <cell r="L415" t="str">
            <v>FT</v>
          </cell>
          <cell r="O415">
            <v>37187.999999999993</v>
          </cell>
        </row>
        <row r="416">
          <cell r="E416">
            <v>101040</v>
          </cell>
          <cell r="L416" t="str">
            <v>FT</v>
          </cell>
          <cell r="O416">
            <v>60946.999999999993</v>
          </cell>
        </row>
        <row r="417">
          <cell r="E417">
            <v>105050</v>
          </cell>
          <cell r="L417" t="str">
            <v>FT</v>
          </cell>
          <cell r="O417">
            <v>65595.499999999985</v>
          </cell>
        </row>
        <row r="418">
          <cell r="E418">
            <v>105050</v>
          </cell>
          <cell r="L418" t="str">
            <v>FT</v>
          </cell>
          <cell r="O418">
            <v>65595.499999999985</v>
          </cell>
        </row>
        <row r="419">
          <cell r="E419">
            <v>103010</v>
          </cell>
          <cell r="L419" t="str">
            <v>FT</v>
          </cell>
          <cell r="O419">
            <v>54253.159999999996</v>
          </cell>
        </row>
        <row r="420">
          <cell r="E420">
            <v>109160</v>
          </cell>
          <cell r="L420" t="str">
            <v>FT</v>
          </cell>
          <cell r="O420">
            <v>40597.003299999997</v>
          </cell>
        </row>
        <row r="421">
          <cell r="E421">
            <v>109090</v>
          </cell>
          <cell r="L421" t="str">
            <v>FT</v>
          </cell>
          <cell r="O421">
            <v>45739.173999999999</v>
          </cell>
        </row>
        <row r="422">
          <cell r="E422">
            <v>112020</v>
          </cell>
          <cell r="L422" t="str">
            <v>FT</v>
          </cell>
          <cell r="O422">
            <v>46485</v>
          </cell>
        </row>
        <row r="423">
          <cell r="E423">
            <v>112050</v>
          </cell>
          <cell r="L423" t="str">
            <v>FT</v>
          </cell>
          <cell r="O423">
            <v>47518</v>
          </cell>
        </row>
        <row r="424">
          <cell r="E424">
            <v>112050</v>
          </cell>
          <cell r="L424" t="str">
            <v>FT</v>
          </cell>
          <cell r="O424">
            <v>47518</v>
          </cell>
        </row>
        <row r="425">
          <cell r="E425">
            <v>112010</v>
          </cell>
          <cell r="L425" t="str">
            <v>FT</v>
          </cell>
          <cell r="O425">
            <v>66112</v>
          </cell>
        </row>
        <row r="426">
          <cell r="E426">
            <v>109200</v>
          </cell>
          <cell r="L426" t="str">
            <v>FT</v>
          </cell>
          <cell r="O426">
            <v>35301.741999999991</v>
          </cell>
        </row>
        <row r="427">
          <cell r="E427">
            <v>109040</v>
          </cell>
          <cell r="L427" t="str">
            <v>FT</v>
          </cell>
          <cell r="O427">
            <v>42667.031999999999</v>
          </cell>
        </row>
        <row r="428">
          <cell r="E428">
            <v>40108190</v>
          </cell>
          <cell r="L428" t="str">
            <v>FT</v>
          </cell>
          <cell r="O428">
            <v>42352.999999999993</v>
          </cell>
        </row>
        <row r="429">
          <cell r="E429">
            <v>109200</v>
          </cell>
          <cell r="L429" t="str">
            <v>FT</v>
          </cell>
          <cell r="O429">
            <v>35301.741999999991</v>
          </cell>
        </row>
        <row r="430">
          <cell r="E430">
            <v>103040</v>
          </cell>
          <cell r="L430" t="str">
            <v>FT</v>
          </cell>
          <cell r="O430">
            <v>39749.839999999997</v>
          </cell>
        </row>
        <row r="431">
          <cell r="E431">
            <v>112020</v>
          </cell>
          <cell r="L431" t="str">
            <v>FT</v>
          </cell>
          <cell r="O431">
            <v>61979.999999999985</v>
          </cell>
        </row>
        <row r="432">
          <cell r="E432">
            <v>40108110</v>
          </cell>
          <cell r="L432" t="str">
            <v>FT</v>
          </cell>
          <cell r="O432">
            <v>34937.092999999993</v>
          </cell>
        </row>
        <row r="433">
          <cell r="E433">
            <v>101040</v>
          </cell>
          <cell r="L433" t="str">
            <v>FT</v>
          </cell>
          <cell r="O433">
            <v>39772.565999999999</v>
          </cell>
        </row>
        <row r="434">
          <cell r="E434">
            <v>112050</v>
          </cell>
          <cell r="L434" t="str">
            <v>FT</v>
          </cell>
          <cell r="O434">
            <v>39749.839999999997</v>
          </cell>
        </row>
        <row r="435">
          <cell r="E435">
            <v>109200</v>
          </cell>
          <cell r="L435" t="str">
            <v>FT</v>
          </cell>
          <cell r="O435">
            <v>35301.741999999991</v>
          </cell>
        </row>
        <row r="436">
          <cell r="E436">
            <v>40408010</v>
          </cell>
          <cell r="L436" t="str">
            <v>FT</v>
          </cell>
          <cell r="O436">
            <v>42352.999999999993</v>
          </cell>
        </row>
        <row r="437">
          <cell r="E437">
            <v>10408300</v>
          </cell>
          <cell r="L437" t="str">
            <v>FT</v>
          </cell>
          <cell r="O437">
            <v>46109.814400000003</v>
          </cell>
        </row>
        <row r="438">
          <cell r="E438">
            <v>105050</v>
          </cell>
          <cell r="L438" t="str">
            <v>FT</v>
          </cell>
          <cell r="O438">
            <v>65595.499999999985</v>
          </cell>
        </row>
        <row r="439">
          <cell r="E439">
            <v>105050</v>
          </cell>
          <cell r="L439" t="str">
            <v>FT</v>
          </cell>
          <cell r="O439">
            <v>65595.499999999985</v>
          </cell>
        </row>
        <row r="440">
          <cell r="E440">
            <v>109030</v>
          </cell>
          <cell r="L440" t="str">
            <v>FT</v>
          </cell>
          <cell r="O440">
            <v>34378.239999999991</v>
          </cell>
        </row>
        <row r="441">
          <cell r="E441">
            <v>112040</v>
          </cell>
          <cell r="L441" t="str">
            <v>FT</v>
          </cell>
          <cell r="O441">
            <v>67145</v>
          </cell>
        </row>
        <row r="442">
          <cell r="E442">
            <v>109030</v>
          </cell>
          <cell r="L442" t="str">
            <v>FT</v>
          </cell>
          <cell r="O442">
            <v>37601.199999999997</v>
          </cell>
        </row>
        <row r="443">
          <cell r="E443">
            <v>105050</v>
          </cell>
          <cell r="L443" t="str">
            <v>FT</v>
          </cell>
          <cell r="O443">
            <v>68390.281499999997</v>
          </cell>
        </row>
        <row r="444">
          <cell r="E444">
            <v>40408010</v>
          </cell>
          <cell r="L444" t="str">
            <v>FT</v>
          </cell>
          <cell r="O444">
            <v>41319.999999999993</v>
          </cell>
        </row>
        <row r="445">
          <cell r="E445">
            <v>40108140</v>
          </cell>
          <cell r="L445" t="str">
            <v>FT</v>
          </cell>
          <cell r="O445">
            <v>35452.559999999998</v>
          </cell>
        </row>
        <row r="446">
          <cell r="E446">
            <v>40108100</v>
          </cell>
          <cell r="L446" t="str">
            <v>FT</v>
          </cell>
          <cell r="O446">
            <v>50616.999999999993</v>
          </cell>
        </row>
        <row r="447">
          <cell r="E447">
            <v>105030</v>
          </cell>
          <cell r="L447" t="str">
            <v>FT</v>
          </cell>
          <cell r="O447">
            <v>42972.799999999996</v>
          </cell>
        </row>
        <row r="448">
          <cell r="E448">
            <v>40108060</v>
          </cell>
          <cell r="L448" t="str">
            <v>FT</v>
          </cell>
          <cell r="O448">
            <v>37601.199999999997</v>
          </cell>
        </row>
        <row r="449">
          <cell r="E449">
            <v>40108060</v>
          </cell>
          <cell r="L449" t="str">
            <v>FT</v>
          </cell>
          <cell r="O449">
            <v>37601.199999999997</v>
          </cell>
        </row>
        <row r="450">
          <cell r="E450">
            <v>113010</v>
          </cell>
          <cell r="L450" t="str">
            <v>FT</v>
          </cell>
          <cell r="O450">
            <v>53199.499999999993</v>
          </cell>
        </row>
        <row r="451">
          <cell r="E451">
            <v>40108090</v>
          </cell>
          <cell r="L451" t="str">
            <v>FT</v>
          </cell>
          <cell r="O451">
            <v>98134.999999999985</v>
          </cell>
        </row>
        <row r="452">
          <cell r="E452">
            <v>109030</v>
          </cell>
          <cell r="L452" t="str">
            <v>FT</v>
          </cell>
          <cell r="O452">
            <v>33303.919999999998</v>
          </cell>
        </row>
        <row r="453">
          <cell r="E453">
            <v>112010</v>
          </cell>
          <cell r="L453" t="str">
            <v>FT</v>
          </cell>
          <cell r="O453">
            <v>54294.479999999996</v>
          </cell>
        </row>
        <row r="454">
          <cell r="E454">
            <v>40108180</v>
          </cell>
          <cell r="L454" t="str">
            <v>FT</v>
          </cell>
          <cell r="O454">
            <v>54274.646399999998</v>
          </cell>
        </row>
        <row r="455">
          <cell r="E455">
            <v>40108090</v>
          </cell>
          <cell r="L455" t="str">
            <v>FT</v>
          </cell>
          <cell r="O455">
            <v>46409.900900000008</v>
          </cell>
        </row>
        <row r="456">
          <cell r="E456">
            <v>109030</v>
          </cell>
          <cell r="L456" t="str">
            <v>FT</v>
          </cell>
          <cell r="O456">
            <v>45121.439999999995</v>
          </cell>
        </row>
        <row r="457">
          <cell r="E457">
            <v>10408300</v>
          </cell>
          <cell r="L457" t="str">
            <v>FT</v>
          </cell>
          <cell r="O457">
            <v>37064.04</v>
          </cell>
        </row>
        <row r="458">
          <cell r="E458">
            <v>40108110</v>
          </cell>
          <cell r="L458" t="str">
            <v>FT</v>
          </cell>
          <cell r="O458">
            <v>34937.092999999993</v>
          </cell>
        </row>
        <row r="459">
          <cell r="E459">
            <v>112010</v>
          </cell>
          <cell r="L459" t="str">
            <v>FT</v>
          </cell>
          <cell r="O459">
            <v>87805.033056</v>
          </cell>
        </row>
        <row r="460">
          <cell r="E460">
            <v>112040</v>
          </cell>
          <cell r="L460" t="str">
            <v>FT</v>
          </cell>
          <cell r="O460">
            <v>41320.066111999993</v>
          </cell>
        </row>
        <row r="461">
          <cell r="E461">
            <v>109110</v>
          </cell>
          <cell r="L461" t="str">
            <v>FT</v>
          </cell>
          <cell r="O461">
            <v>40287</v>
          </cell>
        </row>
        <row r="462">
          <cell r="E462">
            <v>103030</v>
          </cell>
          <cell r="O462">
            <v>58273</v>
          </cell>
        </row>
        <row r="463">
          <cell r="E463">
            <v>103030</v>
          </cell>
          <cell r="O463">
            <v>88000</v>
          </cell>
        </row>
        <row r="464">
          <cell r="E464">
            <v>103040</v>
          </cell>
          <cell r="O464">
            <v>43572</v>
          </cell>
        </row>
        <row r="465">
          <cell r="E465">
            <v>105040</v>
          </cell>
          <cell r="O465">
            <v>70575</v>
          </cell>
        </row>
        <row r="466">
          <cell r="E466">
            <v>105040</v>
          </cell>
          <cell r="O466">
            <v>70575</v>
          </cell>
        </row>
        <row r="467">
          <cell r="E467">
            <v>105040</v>
          </cell>
          <cell r="O467">
            <v>70575</v>
          </cell>
        </row>
        <row r="468">
          <cell r="E468">
            <v>105050</v>
          </cell>
          <cell r="O468">
            <v>70575</v>
          </cell>
        </row>
        <row r="469">
          <cell r="E469">
            <v>105060</v>
          </cell>
          <cell r="O469">
            <v>43572</v>
          </cell>
        </row>
        <row r="470">
          <cell r="E470">
            <v>107010</v>
          </cell>
          <cell r="O470">
            <v>58273</v>
          </cell>
        </row>
        <row r="471">
          <cell r="E471">
            <v>40108070</v>
          </cell>
          <cell r="O471">
            <v>58273</v>
          </cell>
        </row>
        <row r="472">
          <cell r="E472">
            <v>40108110</v>
          </cell>
          <cell r="O472">
            <v>75517</v>
          </cell>
        </row>
        <row r="473">
          <cell r="E473">
            <v>40108140</v>
          </cell>
          <cell r="O473">
            <v>43572</v>
          </cell>
        </row>
        <row r="474">
          <cell r="E474">
            <v>40108140</v>
          </cell>
          <cell r="O474">
            <v>39000</v>
          </cell>
        </row>
        <row r="475">
          <cell r="E475">
            <v>10408300</v>
          </cell>
          <cell r="O475">
            <v>35880</v>
          </cell>
        </row>
        <row r="476">
          <cell r="E476">
            <v>10408300</v>
          </cell>
          <cell r="O476">
            <v>35880</v>
          </cell>
        </row>
        <row r="477">
          <cell r="E477">
            <v>101040</v>
          </cell>
          <cell r="O477">
            <v>73125</v>
          </cell>
        </row>
        <row r="478">
          <cell r="O478">
            <v>0</v>
          </cell>
        </row>
        <row r="479">
          <cell r="O479">
            <v>0</v>
          </cell>
        </row>
        <row r="480">
          <cell r="O480">
            <v>0</v>
          </cell>
        </row>
        <row r="481">
          <cell r="O481">
            <v>0</v>
          </cell>
        </row>
        <row r="482">
          <cell r="O482">
            <v>0</v>
          </cell>
        </row>
        <row r="483">
          <cell r="O483">
            <v>0</v>
          </cell>
        </row>
        <row r="484">
          <cell r="O484">
            <v>0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d Elliott" id="{FD2F93F2-8CD2-48B5-BC4B-201C74569681}" userId="S::CElliott@Altamonte.org::73fc332d-3e08-4088-987e-1345b227c79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9" dT="2026-01-16T19:58:59.66" personId="{FD2F93F2-8CD2-48B5-BC4B-201C74569681}" id="{C5F05A42-32AD-4AD3-AEC9-FA06CF23FF89}">
    <text>-1 rounding</text>
  </threadedComment>
  <threadedComment ref="I59" dT="2026-01-16T19:57:53.23" personId="{FD2F93F2-8CD2-48B5-BC4B-201C74569681}" id="{FD40AE8C-D747-41DF-95D5-F784EF80D45A}">
    <text>-1 rounding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55" dT="2026-01-16T20:03:07.11" personId="{FD2F93F2-8CD2-48B5-BC4B-201C74569681}" id="{8704C044-D106-49BE-AF07-AB77B9BDA4E0}">
    <text>-2 rounding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58" dT="2026-01-16T20:09:56.86" personId="{FD2F93F2-8CD2-48B5-BC4B-201C74569681}" id="{F20EBBF1-99F2-45F1-B4FB-29A23B5B4462}">
    <text>+1 rounding</text>
  </threadedComment>
  <threadedComment ref="I58" dT="2026-01-16T20:11:11.99" personId="{FD2F93F2-8CD2-48B5-BC4B-201C74569681}" id="{351D0E75-59D3-49CC-8544-F46A6D712EFC}">
    <text>-1 rounding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20" dT="2026-01-16T20:36:32.12" personId="{FD2F93F2-8CD2-48B5-BC4B-201C74569681}" id="{46095FF6-B31F-49BB-9C4A-F844637AE26E}">
    <text>+2 rounding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34" dT="2026-01-16T20:40:15.87" personId="{FD2F93F2-8CD2-48B5-BC4B-201C74569681}" id="{AA564A58-3FFE-4FD7-85ED-0F4F43896C9D}">
    <text>-1 rounding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59" dT="2026-01-16T20:43:57.49" personId="{FD2F93F2-8CD2-48B5-BC4B-201C74569681}" id="{523EB55F-691C-48F4-A455-C8F332CE2FF5}">
    <text>+1 rounding</text>
  </threadedComment>
  <threadedComment ref="I59" dT="2026-01-16T20:44:27.59" personId="{FD2F93F2-8CD2-48B5-BC4B-201C74569681}" id="{E2526576-0771-430F-BCBD-ADAF12CDF813}">
    <text>+2 rounding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02" dT="2026-01-16T21:00:56.43" personId="{FD2F93F2-8CD2-48B5-BC4B-201C74569681}" id="{5348AD46-D9F3-46FB-9410-CA6C19515284}">
    <text>-1 rounding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67" dT="2026-01-16T21:06:50.24" personId="{FD2F93F2-8CD2-48B5-BC4B-201C74569681}" id="{5521D366-3E51-4676-8DF4-0B6809CA1E97}">
    <text>+1 rounding</text>
  </threadedComment>
  <threadedComment ref="I67" dT="2026-01-16T21:07:01.56" personId="{FD2F93F2-8CD2-48B5-BC4B-201C74569681}" id="{988F2D28-5BF7-4ED9-B593-DBB2FE9C52C4}">
    <text>-1 rounding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17" dT="2026-01-16T21:14:16.90" personId="{FD2F93F2-8CD2-48B5-BC4B-201C74569681}" id="{BB6F7C6F-1393-4F0C-A9CB-64994459216E}">
    <text>-3 rounding</text>
  </threadedComment>
  <threadedComment ref="I117" dT="2026-01-16T21:14:25.73" personId="{FD2F93F2-8CD2-48B5-BC4B-201C74569681}" id="{2F44DAF7-B17C-4ADA-BF7F-3C140257E16C}">
    <text>-1 rounding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A5A3-2B99-476C-80EF-5778568260D7}">
  <sheetPr>
    <tabColor rgb="FF9966FF"/>
    <pageSetUpPr autoPageBreaks="0"/>
  </sheetPr>
  <dimension ref="A1:R109"/>
  <sheetViews>
    <sheetView showGridLines="0" tabSelected="1" zoomScaleNormal="100" zoomScaleSheetLayoutView="100" workbookViewId="0">
      <pane ySplit="10" topLeftCell="A38" activePane="bottomLeft" state="frozen"/>
      <selection activeCell="G72" sqref="G72:G73"/>
      <selection pane="bottomLeft" activeCell="M41" sqref="M41:M62"/>
    </sheetView>
  </sheetViews>
  <sheetFormatPr defaultColWidth="9.140625" defaultRowHeight="15" x14ac:dyDescent="0.25"/>
  <cols>
    <col min="1" max="1" width="35.28515625" customWidth="1"/>
    <col min="2" max="2" width="10.5703125" style="78" hidden="1" customWidth="1"/>
    <col min="3" max="4" width="6" customWidth="1"/>
    <col min="5" max="5" width="6" style="79" hidden="1" customWidth="1"/>
    <col min="6" max="6" width="1.7109375" style="66" customWidth="1"/>
    <col min="7" max="7" width="9.7109375" customWidth="1"/>
    <col min="8" max="8" width="1.7109375" style="66" customWidth="1"/>
    <col min="9" max="9" width="9.7109375" customWidth="1"/>
    <col min="10" max="10" width="1.7109375" style="66" customWidth="1"/>
    <col min="11" max="11" width="9.7109375" customWidth="1"/>
    <col min="12" max="12" width="1.7109375" style="66" customWidth="1"/>
    <col min="13" max="13" width="9.7109375" customWidth="1"/>
    <col min="14" max="14" width="1.7109375" hidden="1" customWidth="1"/>
    <col min="15" max="15" width="9.7109375" hidden="1" customWidth="1"/>
    <col min="16" max="16" width="1.7109375" hidden="1" customWidth="1"/>
    <col min="17" max="17" width="9.7109375" hidden="1" customWidth="1"/>
    <col min="18" max="18" width="33.140625" customWidth="1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18" ht="13.15" customHeight="1" x14ac:dyDescent="0.25">
      <c r="A3" s="3"/>
      <c r="B3" s="4"/>
      <c r="C3" s="3"/>
      <c r="D3" s="3"/>
      <c r="E3" s="5"/>
      <c r="F3" s="6"/>
      <c r="G3" s="3"/>
      <c r="H3" s="6"/>
      <c r="I3" s="7"/>
      <c r="J3" s="6"/>
      <c r="K3" s="3"/>
      <c r="L3" s="6"/>
      <c r="M3" s="3"/>
      <c r="N3" s="3"/>
      <c r="O3" s="8"/>
      <c r="P3" s="2"/>
      <c r="Q3" s="3"/>
    </row>
    <row r="4" spans="1:18" ht="13.15" customHeight="1" x14ac:dyDescent="0.25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2"/>
      <c r="Q4" s="2"/>
    </row>
    <row r="5" spans="1:18" ht="13.15" customHeight="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</row>
    <row r="6" spans="1:18" ht="13.15" customHeight="1" x14ac:dyDescent="0.25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"/>
      <c r="Q6" s="2"/>
    </row>
    <row r="7" spans="1:18" ht="13.15" customHeight="1" x14ac:dyDescent="0.25">
      <c r="A7" s="10"/>
      <c r="B7" s="11"/>
      <c r="C7" s="10"/>
      <c r="D7" s="10"/>
      <c r="E7" s="12"/>
      <c r="F7" s="13"/>
      <c r="G7" s="10"/>
      <c r="H7" s="13"/>
      <c r="I7" s="14"/>
      <c r="J7" s="13"/>
      <c r="K7" s="10"/>
      <c r="L7" s="13"/>
      <c r="M7" s="10"/>
      <c r="N7" s="10"/>
      <c r="O7" s="15"/>
      <c r="P7" s="2"/>
      <c r="Q7" s="10"/>
    </row>
    <row r="8" spans="1:18" ht="12" customHeight="1" x14ac:dyDescent="0.25">
      <c r="A8" s="16"/>
      <c r="B8" s="17"/>
      <c r="C8" s="16"/>
      <c r="D8" s="16"/>
      <c r="E8" s="5"/>
      <c r="F8" s="6"/>
      <c r="G8" s="18"/>
      <c r="H8" s="19"/>
      <c r="I8" s="20"/>
      <c r="J8" s="19"/>
      <c r="K8" s="18"/>
      <c r="L8" s="21" t="s">
        <v>4</v>
      </c>
      <c r="M8" s="22">
        <f>'[1]WS 818'!M8</f>
        <v>2027</v>
      </c>
      <c r="N8" s="22"/>
      <c r="O8" s="22"/>
      <c r="P8" s="22"/>
      <c r="Q8" s="22"/>
    </row>
    <row r="9" spans="1:18" ht="12" customHeight="1" x14ac:dyDescent="0.25">
      <c r="A9" s="16"/>
      <c r="B9" s="17"/>
      <c r="C9" s="21"/>
      <c r="D9" s="21"/>
      <c r="E9" s="23"/>
      <c r="F9" s="6"/>
      <c r="G9" s="21">
        <f>'[1]WS 818'!G9</f>
        <v>2024</v>
      </c>
      <c r="H9" s="19"/>
      <c r="I9" s="21">
        <f>'[1]WS 818'!I9</f>
        <v>2025</v>
      </c>
      <c r="J9" s="19"/>
      <c r="K9" s="21">
        <f>'[1]WS 818'!K9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ht="12" customHeight="1" x14ac:dyDescent="0.25">
      <c r="A10" s="16"/>
      <c r="B10" s="26" t="s">
        <v>8</v>
      </c>
      <c r="C10" s="26" t="s">
        <v>9</v>
      </c>
      <c r="D10" s="26" t="s">
        <v>10</v>
      </c>
      <c r="E10" s="23"/>
      <c r="F10" s="6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1" t="s">
        <v>1025</v>
      </c>
    </row>
    <row r="11" spans="1:18" ht="13.5" customHeight="1" x14ac:dyDescent="0.25">
      <c r="A11" s="28" t="s">
        <v>16</v>
      </c>
      <c r="B11" s="29"/>
      <c r="C11" s="16"/>
      <c r="D11" s="16"/>
      <c r="E11" s="5"/>
      <c r="F11" s="6"/>
      <c r="G11" s="16"/>
      <c r="H11" s="6"/>
      <c r="I11" s="16"/>
      <c r="J11" s="6"/>
      <c r="K11" s="16"/>
      <c r="L11" s="6"/>
      <c r="M11" s="15"/>
      <c r="N11" s="16"/>
      <c r="O11" s="15"/>
      <c r="P11" s="2"/>
      <c r="Q11" s="15"/>
    </row>
    <row r="12" spans="1:18" ht="24.95" customHeight="1" x14ac:dyDescent="0.25">
      <c r="A12" s="30" t="s">
        <v>17</v>
      </c>
      <c r="B12" s="31" t="s">
        <v>18</v>
      </c>
      <c r="C12" s="32">
        <v>501201</v>
      </c>
      <c r="D12" s="32"/>
      <c r="E12" s="33" t="str">
        <f>_xlfn.CONCAT(B12,C12,D12)</f>
        <v>00109110501201</v>
      </c>
      <c r="F12" s="6" t="s">
        <v>19</v>
      </c>
      <c r="G12" s="34">
        <f>ROUND(IFERROR(VLOOKUP(_xlfn.CONCAT($B12,$C12,$D12),$A$73:$C$9993,3,FALSE),0),0)</f>
        <v>682482</v>
      </c>
      <c r="H12" s="35" t="s">
        <v>19</v>
      </c>
      <c r="I12" s="34">
        <f>ROUND(IFERROR(VLOOKUP(_xlfn.CONCAT($B12,$C12,$D12),$A$73:$C$9993,2,FALSE),0),0)</f>
        <v>715227</v>
      </c>
      <c r="J12" s="35" t="s">
        <v>19</v>
      </c>
      <c r="K12" s="36">
        <v>673169</v>
      </c>
      <c r="L12" s="35" t="s">
        <v>19</v>
      </c>
      <c r="M12" s="36">
        <f>'[1]Payroll Summary by Department'!C60</f>
        <v>673169</v>
      </c>
      <c r="N12" s="37" t="s">
        <v>19</v>
      </c>
      <c r="O12" s="38">
        <f>'[1]Payroll Summary by Department'!C60</f>
        <v>673169</v>
      </c>
      <c r="P12" s="39" t="s">
        <v>19</v>
      </c>
      <c r="Q12" s="38">
        <f>O12</f>
        <v>673169</v>
      </c>
    </row>
    <row r="13" spans="1:18" ht="13.5" customHeight="1" x14ac:dyDescent="0.25">
      <c r="A13" s="30" t="s">
        <v>20</v>
      </c>
      <c r="B13" s="31" t="s">
        <v>18</v>
      </c>
      <c r="C13" s="32">
        <v>501315</v>
      </c>
      <c r="D13" s="32"/>
      <c r="E13" s="33" t="str">
        <f t="shared" ref="E13:E62" si="0">_xlfn.CONCAT(B13,C13,D13)</f>
        <v>00109110501315</v>
      </c>
      <c r="F13" s="6"/>
      <c r="G13" s="34">
        <f t="shared" ref="G13:G23" si="1">ROUND(IFERROR(VLOOKUP(_xlfn.CONCAT($B13,$C13,$D13),$A$73:$C$9993,3,FALSE),0),0)</f>
        <v>7823</v>
      </c>
      <c r="H13" s="35"/>
      <c r="I13" s="34">
        <f t="shared" ref="I13:I23" si="2">ROUND(IFERROR(VLOOKUP(_xlfn.CONCAT($B13,$C13,$D13),$A$73:$C$9993,2,FALSE),0),0)</f>
        <v>11689</v>
      </c>
      <c r="J13" s="35"/>
      <c r="K13" s="36">
        <v>21000</v>
      </c>
      <c r="L13" s="35"/>
      <c r="M13" s="36">
        <v>21000</v>
      </c>
      <c r="N13" s="37"/>
      <c r="O13" s="38">
        <f t="shared" ref="O13:O19" si="3">M13</f>
        <v>21000</v>
      </c>
      <c r="P13" s="2"/>
      <c r="Q13" s="38">
        <f t="shared" ref="Q13:Q23" si="4">O13</f>
        <v>21000</v>
      </c>
    </row>
    <row r="14" spans="1:18" ht="13.5" customHeight="1" x14ac:dyDescent="0.25">
      <c r="A14" s="30" t="s">
        <v>21</v>
      </c>
      <c r="B14" s="31" t="s">
        <v>18</v>
      </c>
      <c r="C14" s="32">
        <v>501400</v>
      </c>
      <c r="D14" s="32"/>
      <c r="E14" s="33" t="str">
        <f t="shared" si="0"/>
        <v>00109110501400</v>
      </c>
      <c r="F14" s="6"/>
      <c r="G14" s="34">
        <f t="shared" si="1"/>
        <v>1100</v>
      </c>
      <c r="H14" s="35"/>
      <c r="I14" s="34">
        <f t="shared" si="2"/>
        <v>2658</v>
      </c>
      <c r="J14" s="35"/>
      <c r="K14" s="36">
        <v>1000</v>
      </c>
      <c r="L14" s="35"/>
      <c r="M14" s="36">
        <v>1000</v>
      </c>
      <c r="N14" s="37"/>
      <c r="O14" s="38">
        <f t="shared" si="3"/>
        <v>1000</v>
      </c>
      <c r="P14" s="2"/>
      <c r="Q14" s="38">
        <f t="shared" si="4"/>
        <v>1000</v>
      </c>
    </row>
    <row r="15" spans="1:18" ht="13.5" customHeight="1" x14ac:dyDescent="0.25">
      <c r="A15" s="30" t="s">
        <v>22</v>
      </c>
      <c r="B15" s="31" t="s">
        <v>18</v>
      </c>
      <c r="C15" s="32">
        <v>501401</v>
      </c>
      <c r="D15" s="32"/>
      <c r="E15" s="33" t="str">
        <f t="shared" si="0"/>
        <v>00109110501401</v>
      </c>
      <c r="F15" s="6"/>
      <c r="G15" s="34">
        <f t="shared" si="1"/>
        <v>0</v>
      </c>
      <c r="H15" s="35"/>
      <c r="I15" s="34">
        <f t="shared" si="2"/>
        <v>0</v>
      </c>
      <c r="J15" s="35"/>
      <c r="K15" s="36">
        <v>0</v>
      </c>
      <c r="L15" s="35"/>
      <c r="M15" s="36">
        <v>0</v>
      </c>
      <c r="N15" s="37"/>
      <c r="O15" s="38">
        <f t="shared" si="3"/>
        <v>0</v>
      </c>
      <c r="P15" s="2"/>
      <c r="Q15" s="38">
        <f t="shared" si="4"/>
        <v>0</v>
      </c>
    </row>
    <row r="16" spans="1:18" ht="13.5" customHeight="1" x14ac:dyDescent="0.25">
      <c r="A16" s="30" t="s">
        <v>23</v>
      </c>
      <c r="B16" s="31" t="s">
        <v>18</v>
      </c>
      <c r="C16" s="32">
        <v>501600</v>
      </c>
      <c r="D16" s="32"/>
      <c r="E16" s="33" t="str">
        <f t="shared" si="0"/>
        <v>00109110501600</v>
      </c>
      <c r="F16" s="6"/>
      <c r="G16" s="34">
        <f t="shared" si="1"/>
        <v>0</v>
      </c>
      <c r="H16" s="35"/>
      <c r="I16" s="34">
        <f t="shared" si="2"/>
        <v>0</v>
      </c>
      <c r="J16" s="35"/>
      <c r="K16" s="36">
        <v>0</v>
      </c>
      <c r="L16" s="35"/>
      <c r="M16" s="36">
        <f>'[1]Payroll Summary by Department'!I60</f>
        <v>0</v>
      </c>
      <c r="N16" s="37"/>
      <c r="O16" s="38">
        <f t="shared" si="3"/>
        <v>0</v>
      </c>
      <c r="P16" s="2"/>
      <c r="Q16" s="38">
        <f t="shared" si="4"/>
        <v>0</v>
      </c>
    </row>
    <row r="17" spans="1:17" ht="13.5" customHeight="1" x14ac:dyDescent="0.25">
      <c r="A17" s="40" t="s">
        <v>24</v>
      </c>
      <c r="B17" s="31" t="s">
        <v>18</v>
      </c>
      <c r="C17" s="41">
        <v>501701</v>
      </c>
      <c r="D17" s="41"/>
      <c r="E17" s="33" t="str">
        <f t="shared" si="0"/>
        <v>00109110501701</v>
      </c>
      <c r="F17" s="42"/>
      <c r="G17" s="34">
        <f t="shared" si="1"/>
        <v>12040</v>
      </c>
      <c r="H17" s="43"/>
      <c r="I17" s="34">
        <f t="shared" si="2"/>
        <v>12049</v>
      </c>
      <c r="J17" s="43"/>
      <c r="K17" s="36">
        <v>12000</v>
      </c>
      <c r="L17" s="43"/>
      <c r="M17" s="36">
        <f>'[1]Payroll Summary by Department'!K60</f>
        <v>12000</v>
      </c>
      <c r="N17" s="44"/>
      <c r="O17" s="38">
        <f t="shared" si="3"/>
        <v>12000</v>
      </c>
      <c r="P17" s="2"/>
      <c r="Q17" s="38">
        <f t="shared" si="4"/>
        <v>12000</v>
      </c>
    </row>
    <row r="18" spans="1:17" ht="13.5" customHeight="1" x14ac:dyDescent="0.25">
      <c r="A18" s="40" t="s">
        <v>25</v>
      </c>
      <c r="B18" s="31" t="s">
        <v>18</v>
      </c>
      <c r="C18" s="41">
        <v>501702</v>
      </c>
      <c r="D18" s="41"/>
      <c r="E18" s="33" t="str">
        <f t="shared" si="0"/>
        <v>00109110501702</v>
      </c>
      <c r="F18" s="42"/>
      <c r="G18" s="34">
        <f t="shared" si="1"/>
        <v>6623</v>
      </c>
      <c r="H18" s="43"/>
      <c r="I18" s="34">
        <f t="shared" si="2"/>
        <v>6811</v>
      </c>
      <c r="J18" s="43"/>
      <c r="K18" s="45">
        <v>6600</v>
      </c>
      <c r="L18" s="43"/>
      <c r="M18" s="45">
        <f>'[1]Payroll Summary by Department'!L60</f>
        <v>6600</v>
      </c>
      <c r="N18" s="44"/>
      <c r="O18" s="38">
        <f t="shared" si="3"/>
        <v>6600</v>
      </c>
      <c r="P18" s="2"/>
      <c r="Q18" s="38">
        <f t="shared" si="4"/>
        <v>6600</v>
      </c>
    </row>
    <row r="19" spans="1:17" ht="13.5" customHeight="1" x14ac:dyDescent="0.25">
      <c r="A19" s="40" t="s">
        <v>26</v>
      </c>
      <c r="B19" s="31" t="s">
        <v>18</v>
      </c>
      <c r="C19" s="41">
        <v>501800</v>
      </c>
      <c r="D19" s="41"/>
      <c r="E19" s="33" t="str">
        <f t="shared" si="0"/>
        <v>00109110501800</v>
      </c>
      <c r="F19" s="42"/>
      <c r="G19" s="34">
        <f t="shared" si="1"/>
        <v>0</v>
      </c>
      <c r="H19" s="43"/>
      <c r="I19" s="34">
        <f t="shared" si="2"/>
        <v>0</v>
      </c>
      <c r="J19" s="43"/>
      <c r="K19" s="45">
        <v>50</v>
      </c>
      <c r="L19" s="43"/>
      <c r="M19" s="45">
        <v>50</v>
      </c>
      <c r="N19" s="39"/>
      <c r="O19" s="38">
        <f t="shared" si="3"/>
        <v>50</v>
      </c>
      <c r="P19" s="2"/>
      <c r="Q19" s="38">
        <f t="shared" si="4"/>
        <v>50</v>
      </c>
    </row>
    <row r="20" spans="1:17" ht="13.5" customHeight="1" x14ac:dyDescent="0.25">
      <c r="A20" s="46" t="s">
        <v>27</v>
      </c>
      <c r="B20" s="31" t="s">
        <v>18</v>
      </c>
      <c r="C20" s="32">
        <v>502100</v>
      </c>
      <c r="D20" s="32"/>
      <c r="E20" s="33" t="str">
        <f t="shared" si="0"/>
        <v>00109110502100</v>
      </c>
      <c r="F20" s="6"/>
      <c r="G20" s="34">
        <f t="shared" si="1"/>
        <v>53677</v>
      </c>
      <c r="H20" s="35"/>
      <c r="I20" s="34">
        <f t="shared" si="2"/>
        <v>56288</v>
      </c>
      <c r="J20" s="35"/>
      <c r="K20" s="36">
        <v>54607</v>
      </c>
      <c r="L20" s="35"/>
      <c r="M20" s="36">
        <f>'[1]Payroll Summary by Department'!N60</f>
        <v>54607</v>
      </c>
      <c r="N20" s="37"/>
      <c r="O20" s="38">
        <f>'[1]Payroll Summary by Department'!N60</f>
        <v>54607</v>
      </c>
      <c r="P20" s="2"/>
      <c r="Q20" s="38">
        <f t="shared" si="4"/>
        <v>54607</v>
      </c>
    </row>
    <row r="21" spans="1:17" ht="13.5" customHeight="1" x14ac:dyDescent="0.25">
      <c r="A21" s="46" t="s">
        <v>28</v>
      </c>
      <c r="B21" s="31" t="s">
        <v>18</v>
      </c>
      <c r="C21" s="32">
        <v>502200</v>
      </c>
      <c r="D21" s="32"/>
      <c r="E21" s="33" t="str">
        <f t="shared" si="0"/>
        <v>00109110502200</v>
      </c>
      <c r="F21" s="6"/>
      <c r="G21" s="34">
        <f t="shared" si="1"/>
        <v>83410</v>
      </c>
      <c r="H21" s="35"/>
      <c r="I21" s="34">
        <f t="shared" si="2"/>
        <v>84375</v>
      </c>
      <c r="J21" s="35"/>
      <c r="K21" s="36">
        <v>100961</v>
      </c>
      <c r="L21" s="35"/>
      <c r="M21" s="36">
        <f>'[1]Payroll Summary by Department'!O60+'[1]Payroll Summary by Department'!P60</f>
        <v>100961</v>
      </c>
      <c r="N21" s="37"/>
      <c r="O21" s="38">
        <f>'[1]Payroll Summary by Department'!O60+'[1]Payroll Summary by Department'!P60</f>
        <v>100961</v>
      </c>
      <c r="P21" s="2"/>
      <c r="Q21" s="38">
        <f t="shared" si="4"/>
        <v>100961</v>
      </c>
    </row>
    <row r="22" spans="1:17" ht="13.5" customHeight="1" x14ac:dyDescent="0.25">
      <c r="A22" s="46" t="s">
        <v>29</v>
      </c>
      <c r="B22" s="31" t="s">
        <v>18</v>
      </c>
      <c r="C22" s="32">
        <v>502300</v>
      </c>
      <c r="D22" s="32"/>
      <c r="E22" s="33" t="str">
        <f t="shared" si="0"/>
        <v>00109110502300</v>
      </c>
      <c r="F22" s="6"/>
      <c r="G22" s="34">
        <f t="shared" si="1"/>
        <v>82199</v>
      </c>
      <c r="H22" s="35"/>
      <c r="I22" s="34">
        <f t="shared" si="2"/>
        <v>87748</v>
      </c>
      <c r="J22" s="35"/>
      <c r="K22" s="36">
        <v>102160</v>
      </c>
      <c r="L22" s="35"/>
      <c r="M22" s="36">
        <f>'[1]Payroll Summary by Department'!Q60</f>
        <v>102160</v>
      </c>
      <c r="N22" s="37"/>
      <c r="O22" s="38">
        <f>'[1]Payroll Summary by Department'!Q60</f>
        <v>102160</v>
      </c>
      <c r="P22" s="2"/>
      <c r="Q22" s="38">
        <f t="shared" si="4"/>
        <v>102160</v>
      </c>
    </row>
    <row r="23" spans="1:17" ht="13.5" customHeight="1" x14ac:dyDescent="0.25">
      <c r="A23" s="46" t="s">
        <v>30</v>
      </c>
      <c r="B23" s="31" t="s">
        <v>18</v>
      </c>
      <c r="C23" s="32">
        <v>502400</v>
      </c>
      <c r="D23" s="32"/>
      <c r="E23" s="33" t="str">
        <f t="shared" si="0"/>
        <v>00109110502400</v>
      </c>
      <c r="F23" s="6"/>
      <c r="G23" s="34">
        <f t="shared" si="1"/>
        <v>1388</v>
      </c>
      <c r="H23" s="35"/>
      <c r="I23" s="34">
        <f t="shared" si="2"/>
        <v>1409</v>
      </c>
      <c r="J23" s="35"/>
      <c r="K23" s="47">
        <v>1272</v>
      </c>
      <c r="L23" s="35"/>
      <c r="M23" s="47">
        <f>'[1]Payroll Summary by Department'!R60</f>
        <v>1272</v>
      </c>
      <c r="N23" s="37"/>
      <c r="O23" s="48">
        <f>'[1]Payroll Summary by Department'!R60</f>
        <v>1272</v>
      </c>
      <c r="P23" s="2"/>
      <c r="Q23" s="38">
        <f t="shared" si="4"/>
        <v>1272</v>
      </c>
    </row>
    <row r="24" spans="1:17" ht="24" customHeight="1" x14ac:dyDescent="0.25">
      <c r="A24" s="49" t="s">
        <v>31</v>
      </c>
      <c r="B24" s="50"/>
      <c r="C24" s="16"/>
      <c r="D24" s="16"/>
      <c r="E24" s="33" t="str">
        <f t="shared" si="0"/>
        <v/>
      </c>
      <c r="F24" s="6" t="s">
        <v>19</v>
      </c>
      <c r="G24" s="51">
        <f>SUM(G12:G23)</f>
        <v>930742</v>
      </c>
      <c r="H24" s="43" t="s">
        <v>19</v>
      </c>
      <c r="I24" s="51">
        <f>SUM(I12:I23)</f>
        <v>978254</v>
      </c>
      <c r="J24" s="43" t="s">
        <v>19</v>
      </c>
      <c r="K24" s="48">
        <f>SUM(K12:K23)</f>
        <v>972819</v>
      </c>
      <c r="L24" s="43" t="s">
        <v>19</v>
      </c>
      <c r="M24" s="48">
        <f>SUM(M12:M23)</f>
        <v>972819</v>
      </c>
      <c r="N24" s="37" t="s">
        <v>19</v>
      </c>
      <c r="O24" s="48">
        <f>SUM(O12:O23)</f>
        <v>972819</v>
      </c>
      <c r="P24" s="39" t="s">
        <v>19</v>
      </c>
      <c r="Q24" s="51">
        <f>SUM(Q12:Q23)</f>
        <v>972819</v>
      </c>
    </row>
    <row r="25" spans="1:17" ht="24" customHeight="1" x14ac:dyDescent="0.25">
      <c r="A25" s="52" t="s">
        <v>32</v>
      </c>
      <c r="B25" s="17"/>
      <c r="C25" s="16"/>
      <c r="D25" s="16"/>
      <c r="E25" s="33" t="str">
        <f t="shared" si="0"/>
        <v/>
      </c>
      <c r="F25" s="6"/>
      <c r="G25" s="36"/>
      <c r="H25" s="6"/>
      <c r="I25" s="36"/>
      <c r="J25" s="6"/>
      <c r="K25" s="36"/>
      <c r="L25" s="6"/>
      <c r="M25" s="36"/>
      <c r="N25" s="53"/>
      <c r="O25" s="36"/>
      <c r="P25" s="2"/>
      <c r="Q25" s="36"/>
    </row>
    <row r="26" spans="1:17" ht="13.5" customHeight="1" x14ac:dyDescent="0.25">
      <c r="A26" s="54" t="s">
        <v>33</v>
      </c>
      <c r="B26" s="55"/>
      <c r="C26" s="16"/>
      <c r="D26" s="16"/>
      <c r="E26" s="33" t="str">
        <f t="shared" si="0"/>
        <v/>
      </c>
      <c r="F26" s="6"/>
      <c r="G26" s="36"/>
      <c r="H26" s="6"/>
      <c r="I26" s="36"/>
      <c r="J26" s="6"/>
      <c r="K26" s="36"/>
      <c r="L26" s="6"/>
      <c r="M26" s="36"/>
      <c r="N26" s="53"/>
      <c r="O26" s="36"/>
      <c r="P26" s="2"/>
      <c r="Q26" s="36"/>
    </row>
    <row r="27" spans="1:17" ht="13.5" customHeight="1" x14ac:dyDescent="0.25">
      <c r="A27" s="56" t="s">
        <v>34</v>
      </c>
      <c r="B27" s="57"/>
      <c r="C27" s="6" t="s">
        <v>35</v>
      </c>
      <c r="D27" s="6"/>
      <c r="E27" s="33" t="str">
        <f t="shared" si="0"/>
        <v>1D</v>
      </c>
      <c r="F27" s="6"/>
      <c r="G27" s="58">
        <v>1</v>
      </c>
      <c r="H27" s="6"/>
      <c r="I27" s="58">
        <v>1</v>
      </c>
      <c r="J27" s="6"/>
      <c r="K27" s="59">
        <f t="shared" ref="K27:K37" si="5">I27</f>
        <v>1</v>
      </c>
      <c r="L27" s="6"/>
      <c r="M27" s="59">
        <f t="shared" ref="M27:M37" si="6">K27</f>
        <v>1</v>
      </c>
      <c r="N27" s="53"/>
      <c r="O27" s="59">
        <f>M27</f>
        <v>1</v>
      </c>
      <c r="P27" s="2"/>
      <c r="Q27" s="59">
        <f t="shared" ref="Q27:Q37" si="7">O27</f>
        <v>1</v>
      </c>
    </row>
    <row r="28" spans="1:17" ht="13.5" customHeight="1" x14ac:dyDescent="0.25">
      <c r="A28" s="60" t="s">
        <v>36</v>
      </c>
      <c r="B28" s="61"/>
      <c r="C28" s="6" t="s">
        <v>37</v>
      </c>
      <c r="D28" s="6"/>
      <c r="E28" s="33" t="str">
        <f t="shared" si="0"/>
        <v>2A</v>
      </c>
      <c r="F28" s="6"/>
      <c r="G28" s="58">
        <v>1</v>
      </c>
      <c r="H28" s="6"/>
      <c r="I28" s="58">
        <v>1</v>
      </c>
      <c r="J28" s="6"/>
      <c r="K28" s="59">
        <f t="shared" si="5"/>
        <v>1</v>
      </c>
      <c r="L28" s="6"/>
      <c r="M28" s="59">
        <f t="shared" si="6"/>
        <v>1</v>
      </c>
      <c r="N28" s="53"/>
      <c r="O28" s="59">
        <f t="shared" ref="O28:O37" si="8">M28</f>
        <v>1</v>
      </c>
      <c r="P28" s="2"/>
      <c r="Q28" s="59">
        <f t="shared" si="7"/>
        <v>1</v>
      </c>
    </row>
    <row r="29" spans="1:17" ht="13.5" customHeight="1" x14ac:dyDescent="0.25">
      <c r="A29" s="60" t="s">
        <v>38</v>
      </c>
      <c r="B29" s="61"/>
      <c r="C29" s="6" t="s">
        <v>37</v>
      </c>
      <c r="D29" s="6"/>
      <c r="E29" s="33" t="str">
        <f t="shared" si="0"/>
        <v>2A</v>
      </c>
      <c r="F29" s="6"/>
      <c r="G29" s="58">
        <v>1</v>
      </c>
      <c r="H29" s="6"/>
      <c r="I29" s="58">
        <v>1</v>
      </c>
      <c r="J29" s="6"/>
      <c r="K29" s="59">
        <f t="shared" si="5"/>
        <v>1</v>
      </c>
      <c r="L29" s="6"/>
      <c r="M29" s="59">
        <f t="shared" si="6"/>
        <v>1</v>
      </c>
      <c r="N29" s="53"/>
      <c r="O29" s="59">
        <f t="shared" si="8"/>
        <v>1</v>
      </c>
      <c r="P29" s="2"/>
      <c r="Q29" s="59">
        <f t="shared" si="7"/>
        <v>1</v>
      </c>
    </row>
    <row r="30" spans="1:17" ht="13.5" customHeight="1" x14ac:dyDescent="0.25">
      <c r="A30" s="60" t="s">
        <v>39</v>
      </c>
      <c r="B30" s="61"/>
      <c r="C30" s="6" t="s">
        <v>37</v>
      </c>
      <c r="D30" s="6"/>
      <c r="E30" s="33" t="str">
        <f t="shared" si="0"/>
        <v>2A</v>
      </c>
      <c r="F30" s="6"/>
      <c r="G30" s="58">
        <v>1</v>
      </c>
      <c r="H30" s="6"/>
      <c r="I30" s="58">
        <v>1</v>
      </c>
      <c r="J30" s="6"/>
      <c r="K30" s="59">
        <f t="shared" si="5"/>
        <v>1</v>
      </c>
      <c r="L30" s="6"/>
      <c r="M30" s="59">
        <f t="shared" si="6"/>
        <v>1</v>
      </c>
      <c r="N30" s="53"/>
      <c r="O30" s="59">
        <f t="shared" si="8"/>
        <v>1</v>
      </c>
      <c r="P30" s="2"/>
      <c r="Q30" s="59">
        <f t="shared" si="7"/>
        <v>1</v>
      </c>
    </row>
    <row r="31" spans="1:17" ht="13.5" customHeight="1" x14ac:dyDescent="0.25">
      <c r="A31" s="56" t="s">
        <v>40</v>
      </c>
      <c r="B31" s="57"/>
      <c r="C31" s="6" t="s">
        <v>41</v>
      </c>
      <c r="D31" s="6"/>
      <c r="E31" s="33" t="str">
        <f t="shared" si="0"/>
        <v>3C</v>
      </c>
      <c r="F31" s="6"/>
      <c r="G31" s="62">
        <v>1</v>
      </c>
      <c r="H31" s="6"/>
      <c r="I31" s="62">
        <v>1</v>
      </c>
      <c r="J31" s="6"/>
      <c r="K31" s="59">
        <f t="shared" si="5"/>
        <v>1</v>
      </c>
      <c r="L31" s="6"/>
      <c r="M31" s="59">
        <f t="shared" si="6"/>
        <v>1</v>
      </c>
      <c r="N31" s="53"/>
      <c r="O31" s="59">
        <f t="shared" si="8"/>
        <v>1</v>
      </c>
      <c r="P31" s="2"/>
      <c r="Q31" s="59">
        <f t="shared" si="7"/>
        <v>1</v>
      </c>
    </row>
    <row r="32" spans="1:17" ht="13.5" customHeight="1" x14ac:dyDescent="0.25">
      <c r="A32" s="56" t="s">
        <v>42</v>
      </c>
      <c r="B32" s="57"/>
      <c r="C32" s="6" t="s">
        <v>43</v>
      </c>
      <c r="D32" s="6"/>
      <c r="E32" s="33" t="str">
        <f t="shared" si="0"/>
        <v>3B</v>
      </c>
      <c r="F32" s="6"/>
      <c r="G32" s="58">
        <v>1</v>
      </c>
      <c r="H32" s="6"/>
      <c r="I32" s="58">
        <v>1</v>
      </c>
      <c r="J32" s="6"/>
      <c r="K32" s="59">
        <f t="shared" si="5"/>
        <v>1</v>
      </c>
      <c r="L32" s="6"/>
      <c r="M32" s="59">
        <f t="shared" si="6"/>
        <v>1</v>
      </c>
      <c r="N32" s="53"/>
      <c r="O32" s="59">
        <f t="shared" si="8"/>
        <v>1</v>
      </c>
      <c r="P32" s="2"/>
      <c r="Q32" s="59">
        <f t="shared" si="7"/>
        <v>1</v>
      </c>
    </row>
    <row r="33" spans="1:17" ht="13.5" customHeight="1" x14ac:dyDescent="0.25">
      <c r="A33" s="56" t="s">
        <v>44</v>
      </c>
      <c r="B33" s="57"/>
      <c r="C33" s="6" t="s">
        <v>43</v>
      </c>
      <c r="D33" s="6"/>
      <c r="E33" s="33" t="str">
        <f t="shared" si="0"/>
        <v>3B</v>
      </c>
      <c r="F33" s="6"/>
      <c r="G33" s="62">
        <v>0</v>
      </c>
      <c r="H33" s="6"/>
      <c r="I33" s="62">
        <v>0</v>
      </c>
      <c r="J33" s="6"/>
      <c r="K33" s="59">
        <f t="shared" si="5"/>
        <v>0</v>
      </c>
      <c r="L33" s="6"/>
      <c r="M33" s="59">
        <f t="shared" si="6"/>
        <v>0</v>
      </c>
      <c r="N33" s="53"/>
      <c r="O33" s="59">
        <f t="shared" si="8"/>
        <v>0</v>
      </c>
      <c r="P33" s="2"/>
      <c r="Q33" s="59">
        <f t="shared" si="7"/>
        <v>0</v>
      </c>
    </row>
    <row r="34" spans="1:17" ht="13.5" customHeight="1" x14ac:dyDescent="0.25">
      <c r="A34" s="56" t="s">
        <v>45</v>
      </c>
      <c r="B34" s="57"/>
      <c r="C34" s="6" t="s">
        <v>46</v>
      </c>
      <c r="D34" s="6"/>
      <c r="E34" s="33" t="str">
        <f t="shared" si="0"/>
        <v>4C</v>
      </c>
      <c r="F34" s="6"/>
      <c r="G34" s="62">
        <v>2</v>
      </c>
      <c r="H34" s="6"/>
      <c r="I34" s="62">
        <v>2</v>
      </c>
      <c r="J34" s="6"/>
      <c r="K34" s="63">
        <f t="shared" si="5"/>
        <v>2</v>
      </c>
      <c r="L34" s="6"/>
      <c r="M34" s="63">
        <f t="shared" si="6"/>
        <v>2</v>
      </c>
      <c r="N34" s="53"/>
      <c r="O34" s="59">
        <f t="shared" si="8"/>
        <v>2</v>
      </c>
      <c r="P34" s="2"/>
      <c r="Q34" s="59">
        <f t="shared" si="7"/>
        <v>2</v>
      </c>
    </row>
    <row r="35" spans="1:17" ht="13.5" customHeight="1" x14ac:dyDescent="0.25">
      <c r="A35" s="56" t="s">
        <v>47</v>
      </c>
      <c r="B35" s="57"/>
      <c r="C35" s="6" t="s">
        <v>48</v>
      </c>
      <c r="D35" s="6"/>
      <c r="E35" s="33" t="str">
        <f t="shared" si="0"/>
        <v>2B</v>
      </c>
      <c r="F35" s="6"/>
      <c r="G35" s="58">
        <v>0</v>
      </c>
      <c r="H35" s="6"/>
      <c r="I35" s="58">
        <v>0</v>
      </c>
      <c r="J35" s="6"/>
      <c r="K35" s="59">
        <f t="shared" si="5"/>
        <v>0</v>
      </c>
      <c r="L35" s="6"/>
      <c r="M35" s="59">
        <f t="shared" si="6"/>
        <v>0</v>
      </c>
      <c r="N35" s="53"/>
      <c r="O35" s="59">
        <f t="shared" si="8"/>
        <v>0</v>
      </c>
      <c r="P35" s="2"/>
      <c r="Q35" s="59">
        <f t="shared" si="7"/>
        <v>0</v>
      </c>
    </row>
    <row r="36" spans="1:17" ht="13.5" customHeight="1" x14ac:dyDescent="0.25">
      <c r="A36" s="60" t="s">
        <v>49</v>
      </c>
      <c r="B36" s="61"/>
      <c r="C36" s="6" t="s">
        <v>43</v>
      </c>
      <c r="D36" s="6"/>
      <c r="E36" s="33" t="str">
        <f t="shared" si="0"/>
        <v>3B</v>
      </c>
      <c r="F36" s="6"/>
      <c r="G36" s="62">
        <v>1</v>
      </c>
      <c r="H36" s="6"/>
      <c r="I36" s="62">
        <v>1</v>
      </c>
      <c r="J36" s="6"/>
      <c r="K36" s="59">
        <f t="shared" si="5"/>
        <v>1</v>
      </c>
      <c r="L36" s="6"/>
      <c r="M36" s="59">
        <f t="shared" si="6"/>
        <v>1</v>
      </c>
      <c r="N36" s="53"/>
      <c r="O36" s="59">
        <f t="shared" si="8"/>
        <v>1</v>
      </c>
      <c r="P36" s="2"/>
      <c r="Q36" s="59">
        <f t="shared" si="7"/>
        <v>1</v>
      </c>
    </row>
    <row r="37" spans="1:17" ht="13.5" customHeight="1" x14ac:dyDescent="0.25">
      <c r="A37" s="60" t="s">
        <v>50</v>
      </c>
      <c r="B37" s="61"/>
      <c r="C37" s="6" t="s">
        <v>46</v>
      </c>
      <c r="D37" s="6"/>
      <c r="E37" s="33" t="str">
        <f t="shared" si="0"/>
        <v>4C</v>
      </c>
      <c r="F37" s="6"/>
      <c r="G37" s="62">
        <v>1</v>
      </c>
      <c r="H37" s="6"/>
      <c r="I37" s="62">
        <v>1</v>
      </c>
      <c r="J37" s="6"/>
      <c r="K37" s="63">
        <f t="shared" si="5"/>
        <v>1</v>
      </c>
      <c r="L37" s="6"/>
      <c r="M37" s="63">
        <f t="shared" si="6"/>
        <v>1</v>
      </c>
      <c r="N37" s="53"/>
      <c r="O37" s="59">
        <f t="shared" si="8"/>
        <v>1</v>
      </c>
      <c r="P37" s="2"/>
      <c r="Q37" s="59">
        <f t="shared" si="7"/>
        <v>1</v>
      </c>
    </row>
    <row r="38" spans="1:17" ht="13.5" customHeight="1" x14ac:dyDescent="0.25">
      <c r="A38" s="56"/>
      <c r="B38" s="57"/>
      <c r="C38" s="6"/>
      <c r="D38" s="6"/>
      <c r="E38" s="33" t="str">
        <f t="shared" si="0"/>
        <v/>
      </c>
      <c r="F38" s="6"/>
      <c r="G38" s="62"/>
      <c r="H38" s="6"/>
      <c r="I38" s="62"/>
      <c r="J38" s="6"/>
      <c r="K38" s="62"/>
      <c r="L38" s="6"/>
      <c r="M38" s="62"/>
      <c r="N38" s="53"/>
      <c r="O38" s="63"/>
      <c r="P38" s="2"/>
      <c r="Q38" s="63"/>
    </row>
    <row r="39" spans="1:17" ht="24" customHeight="1" thickBot="1" x14ac:dyDescent="0.3">
      <c r="A39" s="64" t="s">
        <v>51</v>
      </c>
      <c r="B39" s="57"/>
      <c r="C39" s="16"/>
      <c r="D39" s="16"/>
      <c r="E39" s="33" t="str">
        <f t="shared" si="0"/>
        <v/>
      </c>
      <c r="F39" s="6"/>
      <c r="G39" s="65">
        <f>SUM(G27:G38)</f>
        <v>10</v>
      </c>
      <c r="H39" s="42"/>
      <c r="I39" s="65">
        <f>SUM(I27:I38)</f>
        <v>10</v>
      </c>
      <c r="J39" s="42"/>
      <c r="K39" s="65">
        <f>SUM(K27:K38)</f>
        <v>10</v>
      </c>
      <c r="L39" s="42"/>
      <c r="M39" s="65">
        <f>SUM(M27:M38)</f>
        <v>10</v>
      </c>
      <c r="N39" s="53"/>
      <c r="O39" s="65">
        <f>SUM(O27:O38)</f>
        <v>10</v>
      </c>
      <c r="P39" s="2"/>
      <c r="Q39" s="65">
        <f>SUM(Q27:Q38)</f>
        <v>10</v>
      </c>
    </row>
    <row r="40" spans="1:17" ht="13.5" customHeight="1" thickTop="1" x14ac:dyDescent="0.25">
      <c r="A40" s="52" t="s">
        <v>52</v>
      </c>
      <c r="B40" s="17"/>
      <c r="C40" s="16"/>
      <c r="D40" s="16"/>
      <c r="E40" s="33" t="str">
        <f t="shared" si="0"/>
        <v/>
      </c>
      <c r="F40" s="6"/>
      <c r="G40" s="36"/>
      <c r="H40" s="6"/>
      <c r="I40" s="36"/>
      <c r="J40" s="6"/>
      <c r="K40" s="36"/>
      <c r="L40" s="6"/>
      <c r="M40" s="36"/>
      <c r="N40" s="53"/>
      <c r="O40" s="36"/>
      <c r="P40" s="2"/>
      <c r="Q40" s="36"/>
    </row>
    <row r="41" spans="1:17" ht="13.5" customHeight="1" x14ac:dyDescent="0.25">
      <c r="A41" s="46" t="s">
        <v>53</v>
      </c>
      <c r="B41" s="31" t="s">
        <v>18</v>
      </c>
      <c r="C41" s="16">
        <v>503403</v>
      </c>
      <c r="D41" s="16"/>
      <c r="E41" s="33" t="str">
        <f t="shared" si="0"/>
        <v>00109110503403</v>
      </c>
      <c r="F41" s="6" t="s">
        <v>19</v>
      </c>
      <c r="G41" s="34">
        <f t="shared" ref="G41:G62" si="9">ROUND(IFERROR(VLOOKUP(_xlfn.CONCAT($B41,$C41,$D41),$A$73:$C$9993,3,FALSE),0),0)</f>
        <v>2717</v>
      </c>
      <c r="H41" s="35" t="s">
        <v>19</v>
      </c>
      <c r="I41" s="34">
        <f t="shared" ref="I41:I62" si="10">ROUND(IFERROR(VLOOKUP(_xlfn.CONCAT($B41,$C41,$D41),$A$73:$C$9993,2,FALSE),0),0)</f>
        <v>2807</v>
      </c>
      <c r="J41" s="35" t="s">
        <v>19</v>
      </c>
      <c r="K41" s="36">
        <v>0</v>
      </c>
      <c r="L41" s="35" t="s">
        <v>19</v>
      </c>
      <c r="M41" s="232">
        <v>0</v>
      </c>
      <c r="N41" s="37" t="s">
        <v>19</v>
      </c>
      <c r="O41" s="38">
        <f t="shared" ref="O41:O62" si="11">M41</f>
        <v>0</v>
      </c>
      <c r="P41" s="39" t="s">
        <v>19</v>
      </c>
      <c r="Q41" s="44">
        <f t="shared" ref="Q41:Q62" si="12">O41</f>
        <v>0</v>
      </c>
    </row>
    <row r="42" spans="1:17" ht="13.5" customHeight="1" x14ac:dyDescent="0.25">
      <c r="A42" s="56" t="s">
        <v>54</v>
      </c>
      <c r="B42" s="31" t="s">
        <v>18</v>
      </c>
      <c r="C42" s="42"/>
      <c r="D42" s="42"/>
      <c r="E42" s="33" t="str">
        <f t="shared" si="0"/>
        <v>00109110</v>
      </c>
      <c r="G42" s="34">
        <f t="shared" si="9"/>
        <v>0</v>
      </c>
      <c r="I42" s="34">
        <f t="shared" si="10"/>
        <v>0</v>
      </c>
      <c r="K42" s="45">
        <v>2500</v>
      </c>
      <c r="M42" s="233">
        <v>2500</v>
      </c>
      <c r="O42" s="38">
        <f t="shared" si="11"/>
        <v>2500</v>
      </c>
      <c r="Q42" s="44">
        <f t="shared" si="12"/>
        <v>2500</v>
      </c>
    </row>
    <row r="43" spans="1:17" ht="13.5" customHeight="1" x14ac:dyDescent="0.25">
      <c r="A43" s="56" t="s">
        <v>55</v>
      </c>
      <c r="B43" s="31" t="s">
        <v>18</v>
      </c>
      <c r="C43" s="42"/>
      <c r="D43" s="42"/>
      <c r="E43" s="33" t="str">
        <f t="shared" si="0"/>
        <v>00109110</v>
      </c>
      <c r="F43" s="42"/>
      <c r="G43" s="34">
        <f t="shared" si="9"/>
        <v>0</v>
      </c>
      <c r="H43" s="67"/>
      <c r="I43" s="34">
        <f t="shared" si="10"/>
        <v>0</v>
      </c>
      <c r="J43" s="67"/>
      <c r="K43" s="45">
        <v>1875</v>
      </c>
      <c r="L43" s="43"/>
      <c r="M43" s="233">
        <v>1875</v>
      </c>
      <c r="N43" s="39"/>
      <c r="O43" s="38">
        <f t="shared" si="11"/>
        <v>1875</v>
      </c>
      <c r="P43" s="2"/>
      <c r="Q43" s="44">
        <f t="shared" si="12"/>
        <v>1875</v>
      </c>
    </row>
    <row r="44" spans="1:17" ht="13.5" customHeight="1" x14ac:dyDescent="0.25">
      <c r="A44" s="56" t="s">
        <v>56</v>
      </c>
      <c r="B44" s="31" t="s">
        <v>18</v>
      </c>
      <c r="C44" s="42"/>
      <c r="D44" s="42"/>
      <c r="E44" s="33" t="str">
        <f t="shared" si="0"/>
        <v>00109110</v>
      </c>
      <c r="F44" s="42"/>
      <c r="G44" s="34">
        <f t="shared" si="9"/>
        <v>0</v>
      </c>
      <c r="H44" s="67"/>
      <c r="I44" s="34">
        <f t="shared" si="10"/>
        <v>0</v>
      </c>
      <c r="J44" s="67"/>
      <c r="K44" s="45">
        <v>1200</v>
      </c>
      <c r="L44" s="43"/>
      <c r="M44" s="233">
        <v>1200</v>
      </c>
      <c r="N44" s="39"/>
      <c r="O44" s="38">
        <f>M44</f>
        <v>1200</v>
      </c>
      <c r="P44" s="2"/>
      <c r="Q44" s="44">
        <f>O44</f>
        <v>1200</v>
      </c>
    </row>
    <row r="45" spans="1:17" ht="13.5" customHeight="1" x14ac:dyDescent="0.25">
      <c r="A45" s="56" t="s">
        <v>57</v>
      </c>
      <c r="B45" s="31" t="s">
        <v>18</v>
      </c>
      <c r="C45" s="42"/>
      <c r="D45" s="42"/>
      <c r="E45" s="33" t="str">
        <f t="shared" si="0"/>
        <v>00109110</v>
      </c>
      <c r="F45" s="42"/>
      <c r="G45" s="34">
        <f t="shared" si="9"/>
        <v>0</v>
      </c>
      <c r="H45" s="67"/>
      <c r="I45" s="34">
        <f t="shared" si="10"/>
        <v>0</v>
      </c>
      <c r="J45" s="67"/>
      <c r="K45" s="45">
        <v>750</v>
      </c>
      <c r="L45" s="43"/>
      <c r="M45" s="233">
        <v>750</v>
      </c>
      <c r="N45" s="39"/>
      <c r="O45" s="38">
        <f>M45</f>
        <v>750</v>
      </c>
      <c r="P45" s="2"/>
      <c r="Q45" s="44">
        <f>O45</f>
        <v>750</v>
      </c>
    </row>
    <row r="46" spans="1:17" ht="13.5" customHeight="1" x14ac:dyDescent="0.25">
      <c r="A46" s="46" t="s">
        <v>58</v>
      </c>
      <c r="B46" s="31" t="s">
        <v>18</v>
      </c>
      <c r="C46" s="16">
        <v>503470</v>
      </c>
      <c r="D46" s="16"/>
      <c r="E46" s="33" t="str">
        <f t="shared" si="0"/>
        <v>00109110503470</v>
      </c>
      <c r="F46" s="42"/>
      <c r="G46" s="34">
        <f t="shared" si="9"/>
        <v>0</v>
      </c>
      <c r="H46" s="42"/>
      <c r="I46" s="34">
        <f t="shared" si="10"/>
        <v>0</v>
      </c>
      <c r="J46" s="42"/>
      <c r="K46" s="36">
        <v>0</v>
      </c>
      <c r="L46" s="42"/>
      <c r="M46" s="232">
        <v>0</v>
      </c>
      <c r="N46" s="15"/>
      <c r="O46" s="38">
        <f t="shared" si="11"/>
        <v>0</v>
      </c>
      <c r="P46" s="2"/>
      <c r="Q46" s="44">
        <f t="shared" si="12"/>
        <v>0</v>
      </c>
    </row>
    <row r="47" spans="1:17" ht="13.5" customHeight="1" x14ac:dyDescent="0.25">
      <c r="A47" s="40" t="s">
        <v>59</v>
      </c>
      <c r="B47" s="31" t="s">
        <v>18</v>
      </c>
      <c r="C47" s="68">
        <v>503901</v>
      </c>
      <c r="D47" s="16"/>
      <c r="E47" s="33" t="str">
        <f t="shared" si="0"/>
        <v>00109110503901</v>
      </c>
      <c r="F47" s="42"/>
      <c r="G47" s="34">
        <f t="shared" si="9"/>
        <v>0</v>
      </c>
      <c r="H47" s="42"/>
      <c r="I47" s="34">
        <f t="shared" si="10"/>
        <v>442</v>
      </c>
      <c r="J47" s="42"/>
      <c r="K47" s="36">
        <v>0</v>
      </c>
      <c r="L47" s="42"/>
      <c r="M47" s="232">
        <v>0</v>
      </c>
      <c r="N47" s="15"/>
      <c r="O47" s="38">
        <f>M47</f>
        <v>0</v>
      </c>
      <c r="P47" s="2"/>
      <c r="Q47" s="44">
        <f>O47</f>
        <v>0</v>
      </c>
    </row>
    <row r="48" spans="1:17" ht="13.5" customHeight="1" x14ac:dyDescent="0.25">
      <c r="A48" s="46" t="s">
        <v>60</v>
      </c>
      <c r="B48" s="31" t="s">
        <v>18</v>
      </c>
      <c r="C48" s="32"/>
      <c r="D48" s="32"/>
      <c r="E48" s="33" t="str">
        <f t="shared" si="0"/>
        <v>00109110</v>
      </c>
      <c r="F48" s="42"/>
      <c r="G48" s="34">
        <f t="shared" si="9"/>
        <v>0</v>
      </c>
      <c r="H48" s="42"/>
      <c r="I48" s="34">
        <f t="shared" si="10"/>
        <v>0</v>
      </c>
      <c r="J48" s="42"/>
      <c r="K48" s="36">
        <v>0</v>
      </c>
      <c r="L48" s="42"/>
      <c r="M48" s="232">
        <v>0</v>
      </c>
      <c r="N48" s="15"/>
      <c r="O48" s="38">
        <f>M48</f>
        <v>0</v>
      </c>
      <c r="P48" s="2"/>
      <c r="Q48" s="44">
        <f>O48</f>
        <v>0</v>
      </c>
    </row>
    <row r="49" spans="1:17" ht="13.5" customHeight="1" x14ac:dyDescent="0.25">
      <c r="A49" s="40" t="s">
        <v>61</v>
      </c>
      <c r="B49" s="31" t="s">
        <v>18</v>
      </c>
      <c r="C49" s="32">
        <v>504060</v>
      </c>
      <c r="D49" s="32"/>
      <c r="E49" s="33" t="str">
        <f t="shared" si="0"/>
        <v>00109110504060</v>
      </c>
      <c r="F49" s="6"/>
      <c r="G49" s="34">
        <f t="shared" si="9"/>
        <v>1555</v>
      </c>
      <c r="H49" s="35"/>
      <c r="I49" s="34">
        <f t="shared" si="10"/>
        <v>7090</v>
      </c>
      <c r="J49" s="35"/>
      <c r="K49" s="36">
        <v>2500</v>
      </c>
      <c r="L49" s="35"/>
      <c r="M49" s="232">
        <v>2500</v>
      </c>
      <c r="N49" s="37"/>
      <c r="O49" s="38">
        <f>M49</f>
        <v>2500</v>
      </c>
      <c r="P49" s="2"/>
      <c r="Q49" s="44">
        <f>O49</f>
        <v>2500</v>
      </c>
    </row>
    <row r="50" spans="1:17" ht="13.5" customHeight="1" x14ac:dyDescent="0.25">
      <c r="A50" s="40" t="s">
        <v>62</v>
      </c>
      <c r="B50" s="31" t="s">
        <v>18</v>
      </c>
      <c r="C50" s="6">
        <v>504070</v>
      </c>
      <c r="D50" s="6"/>
      <c r="E50" s="33" t="str">
        <f t="shared" si="0"/>
        <v>00109110504070</v>
      </c>
      <c r="F50" s="6"/>
      <c r="G50" s="34">
        <f t="shared" si="9"/>
        <v>2819</v>
      </c>
      <c r="H50" s="35"/>
      <c r="I50" s="34">
        <f t="shared" si="10"/>
        <v>5920</v>
      </c>
      <c r="J50" s="35"/>
      <c r="K50" s="36">
        <v>7000</v>
      </c>
      <c r="L50" s="35"/>
      <c r="M50" s="232">
        <v>7000</v>
      </c>
      <c r="N50" s="37"/>
      <c r="O50" s="38">
        <f t="shared" si="11"/>
        <v>7000</v>
      </c>
      <c r="P50" s="2"/>
      <c r="Q50" s="44">
        <f>O50</f>
        <v>7000</v>
      </c>
    </row>
    <row r="51" spans="1:17" ht="13.5" customHeight="1" x14ac:dyDescent="0.25">
      <c r="A51" s="40" t="s">
        <v>63</v>
      </c>
      <c r="B51" s="31" t="s">
        <v>18</v>
      </c>
      <c r="C51" s="69"/>
      <c r="D51" s="69"/>
      <c r="E51" s="33" t="str">
        <f t="shared" si="0"/>
        <v>00109110</v>
      </c>
      <c r="F51" s="42"/>
      <c r="G51" s="34">
        <f t="shared" si="9"/>
        <v>0</v>
      </c>
      <c r="H51" s="43"/>
      <c r="I51" s="34">
        <f t="shared" si="10"/>
        <v>0</v>
      </c>
      <c r="J51" s="43"/>
      <c r="K51" s="45">
        <v>0</v>
      </c>
      <c r="L51" s="43"/>
      <c r="M51" s="234">
        <v>0</v>
      </c>
      <c r="N51" s="39"/>
      <c r="O51" s="38">
        <f t="shared" si="11"/>
        <v>0</v>
      </c>
      <c r="P51" s="2"/>
      <c r="Q51" s="44">
        <f>O51</f>
        <v>0</v>
      </c>
    </row>
    <row r="52" spans="1:17" ht="13.5" customHeight="1" x14ac:dyDescent="0.25">
      <c r="A52" s="40" t="s">
        <v>64</v>
      </c>
      <c r="B52" s="31" t="s">
        <v>18</v>
      </c>
      <c r="C52" s="15">
        <v>504124</v>
      </c>
      <c r="D52" s="15"/>
      <c r="E52" s="33" t="str">
        <f t="shared" si="0"/>
        <v>00109110504124</v>
      </c>
      <c r="F52" s="42"/>
      <c r="G52" s="34">
        <f t="shared" si="9"/>
        <v>6994</v>
      </c>
      <c r="H52" s="43"/>
      <c r="I52" s="34">
        <f t="shared" si="10"/>
        <v>7385</v>
      </c>
      <c r="J52" s="43"/>
      <c r="K52" s="45">
        <v>8000</v>
      </c>
      <c r="L52" s="43"/>
      <c r="M52" s="234">
        <v>8000</v>
      </c>
      <c r="N52" s="39"/>
      <c r="O52" s="38">
        <f t="shared" si="11"/>
        <v>8000</v>
      </c>
      <c r="P52" s="2"/>
      <c r="Q52" s="44">
        <f t="shared" si="12"/>
        <v>8000</v>
      </c>
    </row>
    <row r="53" spans="1:17" ht="13.5" customHeight="1" x14ac:dyDescent="0.25">
      <c r="A53" s="40" t="s">
        <v>65</v>
      </c>
      <c r="B53" s="31" t="s">
        <v>18</v>
      </c>
      <c r="C53" s="15">
        <v>504401</v>
      </c>
      <c r="D53" s="15"/>
      <c r="E53" s="33" t="str">
        <f t="shared" si="0"/>
        <v>00109110504401</v>
      </c>
      <c r="F53" s="42"/>
      <c r="G53" s="34">
        <f t="shared" si="9"/>
        <v>0</v>
      </c>
      <c r="H53" s="43"/>
      <c r="I53" s="34">
        <f t="shared" si="10"/>
        <v>0</v>
      </c>
      <c r="J53" s="43"/>
      <c r="K53" s="45">
        <v>0</v>
      </c>
      <c r="L53" s="43"/>
      <c r="M53" s="234">
        <v>0</v>
      </c>
      <c r="N53" s="39"/>
      <c r="O53" s="38">
        <f t="shared" si="11"/>
        <v>0</v>
      </c>
      <c r="P53" s="2"/>
      <c r="Q53" s="44">
        <f t="shared" si="12"/>
        <v>0</v>
      </c>
    </row>
    <row r="54" spans="1:17" ht="13.5" customHeight="1" x14ac:dyDescent="0.25">
      <c r="A54" s="40" t="s">
        <v>66</v>
      </c>
      <c r="B54" s="31" t="s">
        <v>18</v>
      </c>
      <c r="C54" s="69">
        <v>504450</v>
      </c>
      <c r="D54" s="69"/>
      <c r="E54" s="33" t="str">
        <f t="shared" si="0"/>
        <v>00109110504450</v>
      </c>
      <c r="F54" s="42"/>
      <c r="G54" s="34">
        <f t="shared" si="9"/>
        <v>0</v>
      </c>
      <c r="H54" s="43"/>
      <c r="I54" s="34">
        <f t="shared" si="10"/>
        <v>0</v>
      </c>
      <c r="J54" s="43"/>
      <c r="K54" s="45">
        <v>0</v>
      </c>
      <c r="L54" s="43"/>
      <c r="M54" s="234">
        <v>0</v>
      </c>
      <c r="N54" s="39"/>
      <c r="O54" s="38">
        <f t="shared" si="11"/>
        <v>0</v>
      </c>
      <c r="P54" s="2"/>
      <c r="Q54" s="44">
        <f t="shared" si="12"/>
        <v>0</v>
      </c>
    </row>
    <row r="55" spans="1:17" ht="13.5" customHeight="1" x14ac:dyDescent="0.25">
      <c r="A55" s="46" t="s">
        <v>67</v>
      </c>
      <c r="B55" s="31" t="s">
        <v>18</v>
      </c>
      <c r="C55" s="32">
        <v>504710</v>
      </c>
      <c r="D55" s="32"/>
      <c r="E55" s="33" t="str">
        <f t="shared" si="0"/>
        <v>00109110504710</v>
      </c>
      <c r="F55" s="6"/>
      <c r="G55" s="34">
        <f t="shared" si="9"/>
        <v>431</v>
      </c>
      <c r="H55" s="35"/>
      <c r="I55" s="34">
        <f t="shared" si="10"/>
        <v>316</v>
      </c>
      <c r="J55" s="35"/>
      <c r="K55" s="36">
        <v>1000</v>
      </c>
      <c r="L55" s="35"/>
      <c r="M55" s="232">
        <v>1000</v>
      </c>
      <c r="N55" s="37"/>
      <c r="O55" s="38">
        <f t="shared" si="11"/>
        <v>1000</v>
      </c>
      <c r="P55" s="2"/>
      <c r="Q55" s="44">
        <f t="shared" si="12"/>
        <v>1000</v>
      </c>
    </row>
    <row r="56" spans="1:17" ht="13.5" customHeight="1" x14ac:dyDescent="0.25">
      <c r="A56" s="46" t="s">
        <v>68</v>
      </c>
      <c r="B56" s="31" t="s">
        <v>18</v>
      </c>
      <c r="C56" s="32">
        <v>505101</v>
      </c>
      <c r="D56" s="32"/>
      <c r="E56" s="33" t="str">
        <f t="shared" si="0"/>
        <v>00109110505101</v>
      </c>
      <c r="F56" s="6"/>
      <c r="G56" s="34">
        <f t="shared" si="9"/>
        <v>4689</v>
      </c>
      <c r="H56" s="35"/>
      <c r="I56" s="34">
        <f t="shared" si="10"/>
        <v>5622</v>
      </c>
      <c r="J56" s="35"/>
      <c r="K56" s="36">
        <v>6000</v>
      </c>
      <c r="L56" s="35"/>
      <c r="M56" s="232">
        <v>6000</v>
      </c>
      <c r="N56" s="37"/>
      <c r="O56" s="38">
        <f t="shared" si="11"/>
        <v>6000</v>
      </c>
      <c r="P56" s="2"/>
      <c r="Q56" s="44">
        <f t="shared" si="12"/>
        <v>6000</v>
      </c>
    </row>
    <row r="57" spans="1:17" ht="13.5" customHeight="1" x14ac:dyDescent="0.25">
      <c r="A57" s="46" t="s">
        <v>69</v>
      </c>
      <c r="B57" s="31" t="s">
        <v>18</v>
      </c>
      <c r="C57" s="32">
        <v>505201</v>
      </c>
      <c r="D57" s="32"/>
      <c r="E57" s="33" t="str">
        <f t="shared" si="0"/>
        <v>00109110505201</v>
      </c>
      <c r="F57" s="6"/>
      <c r="G57" s="34">
        <f t="shared" si="9"/>
        <v>0</v>
      </c>
      <c r="H57" s="35"/>
      <c r="I57" s="34">
        <f t="shared" si="10"/>
        <v>0</v>
      </c>
      <c r="J57" s="35"/>
      <c r="K57" s="36">
        <v>0</v>
      </c>
      <c r="L57" s="35"/>
      <c r="M57" s="232">
        <v>0</v>
      </c>
      <c r="N57" s="37"/>
      <c r="O57" s="38">
        <f t="shared" si="11"/>
        <v>0</v>
      </c>
      <c r="P57" s="2"/>
      <c r="Q57" s="44">
        <f t="shared" si="12"/>
        <v>0</v>
      </c>
    </row>
    <row r="58" spans="1:17" ht="13.5" customHeight="1" x14ac:dyDescent="0.25">
      <c r="A58" s="46" t="s">
        <v>70</v>
      </c>
      <c r="B58" s="31" t="s">
        <v>18</v>
      </c>
      <c r="C58" s="32">
        <v>505260</v>
      </c>
      <c r="D58" s="32"/>
      <c r="E58" s="33" t="str">
        <f t="shared" si="0"/>
        <v>00109110505260</v>
      </c>
      <c r="F58" s="6"/>
      <c r="G58" s="34">
        <f t="shared" si="9"/>
        <v>373</v>
      </c>
      <c r="H58" s="35"/>
      <c r="I58" s="34">
        <f t="shared" si="10"/>
        <v>0</v>
      </c>
      <c r="J58" s="35"/>
      <c r="K58" s="36">
        <v>2000</v>
      </c>
      <c r="L58" s="35"/>
      <c r="M58" s="232">
        <v>2000</v>
      </c>
      <c r="N58" s="37"/>
      <c r="O58" s="38">
        <f t="shared" si="11"/>
        <v>2000</v>
      </c>
      <c r="P58" s="2"/>
      <c r="Q58" s="44">
        <f t="shared" si="12"/>
        <v>2000</v>
      </c>
    </row>
    <row r="59" spans="1:17" ht="13.5" customHeight="1" x14ac:dyDescent="0.25">
      <c r="A59" s="46" t="s">
        <v>71</v>
      </c>
      <c r="B59" s="31" t="s">
        <v>18</v>
      </c>
      <c r="C59" s="32">
        <v>505401</v>
      </c>
      <c r="D59" s="32"/>
      <c r="E59" s="33" t="str">
        <f t="shared" si="0"/>
        <v>00109110505401</v>
      </c>
      <c r="F59" s="6"/>
      <c r="G59" s="34">
        <f>ROUND(IFERROR(VLOOKUP(_xlfn.CONCAT($B59,$C59,$D59),$A$73:$C$9993,3,FALSE),0),0)-1</f>
        <v>1794</v>
      </c>
      <c r="H59" s="35"/>
      <c r="I59" s="34">
        <f>ROUND(IFERROR(VLOOKUP(_xlfn.CONCAT($B59,$C59,$D59),$A$73:$C$9993,2,FALSE),0),0)-1</f>
        <v>1508</v>
      </c>
      <c r="J59" s="35"/>
      <c r="K59" s="36">
        <v>2500</v>
      </c>
      <c r="L59" s="35"/>
      <c r="M59" s="232">
        <v>2500</v>
      </c>
      <c r="N59" s="37"/>
      <c r="O59" s="38">
        <f t="shared" si="11"/>
        <v>2500</v>
      </c>
      <c r="P59" s="2"/>
      <c r="Q59" s="44">
        <f t="shared" si="12"/>
        <v>2500</v>
      </c>
    </row>
    <row r="60" spans="1:17" ht="13.15" customHeight="1" x14ac:dyDescent="0.25">
      <c r="A60" s="40" t="s">
        <v>72</v>
      </c>
      <c r="B60" s="31" t="s">
        <v>18</v>
      </c>
      <c r="C60" s="42">
        <v>505550</v>
      </c>
      <c r="D60" s="42"/>
      <c r="E60" s="33" t="str">
        <f t="shared" si="0"/>
        <v>00109110505550</v>
      </c>
      <c r="F60" s="42"/>
      <c r="G60" s="34">
        <f t="shared" si="9"/>
        <v>0</v>
      </c>
      <c r="H60" s="43"/>
      <c r="I60" s="34">
        <f t="shared" si="10"/>
        <v>57</v>
      </c>
      <c r="J60" s="43"/>
      <c r="K60" s="45">
        <v>330</v>
      </c>
      <c r="L60" s="43"/>
      <c r="M60" s="234">
        <v>330</v>
      </c>
      <c r="N60" s="39"/>
      <c r="O60" s="38">
        <f t="shared" si="11"/>
        <v>330</v>
      </c>
      <c r="P60" s="2"/>
      <c r="Q60" s="44">
        <f t="shared" si="12"/>
        <v>330</v>
      </c>
    </row>
    <row r="61" spans="1:17" ht="13.15" customHeight="1" x14ac:dyDescent="0.25">
      <c r="A61" s="40" t="s">
        <v>73</v>
      </c>
      <c r="B61" s="31" t="s">
        <v>18</v>
      </c>
      <c r="C61" s="42">
        <v>505710</v>
      </c>
      <c r="D61" s="42"/>
      <c r="E61" s="33" t="str">
        <f t="shared" si="0"/>
        <v>00109110505710</v>
      </c>
      <c r="F61" s="42"/>
      <c r="G61" s="34">
        <f t="shared" si="9"/>
        <v>0</v>
      </c>
      <c r="H61" s="43"/>
      <c r="I61" s="34">
        <f t="shared" si="10"/>
        <v>0</v>
      </c>
      <c r="J61" s="43"/>
      <c r="K61" s="45">
        <v>1500</v>
      </c>
      <c r="L61" s="43"/>
      <c r="M61" s="234">
        <v>1500</v>
      </c>
      <c r="N61" s="39"/>
      <c r="O61" s="38">
        <f>M61</f>
        <v>1500</v>
      </c>
      <c r="P61" s="2"/>
      <c r="Q61" s="44">
        <f>O61</f>
        <v>1500</v>
      </c>
    </row>
    <row r="62" spans="1:17" ht="13.5" customHeight="1" x14ac:dyDescent="0.25">
      <c r="A62" s="40" t="s">
        <v>74</v>
      </c>
      <c r="B62" s="31" t="s">
        <v>18</v>
      </c>
      <c r="C62" s="42">
        <v>505801</v>
      </c>
      <c r="D62" s="42"/>
      <c r="E62" s="33" t="str">
        <f t="shared" si="0"/>
        <v>00109110505801</v>
      </c>
      <c r="F62" s="42"/>
      <c r="G62" s="34">
        <f t="shared" si="9"/>
        <v>0</v>
      </c>
      <c r="H62" s="43"/>
      <c r="I62" s="34">
        <f t="shared" si="10"/>
        <v>0</v>
      </c>
      <c r="J62" s="43"/>
      <c r="K62" s="44">
        <v>0</v>
      </c>
      <c r="L62" s="43"/>
      <c r="M62" s="233">
        <v>0</v>
      </c>
      <c r="N62" s="39"/>
      <c r="O62" s="38">
        <f t="shared" si="11"/>
        <v>0</v>
      </c>
      <c r="P62" s="2"/>
      <c r="Q62" s="44">
        <f t="shared" si="12"/>
        <v>0</v>
      </c>
    </row>
    <row r="63" spans="1:17" ht="13.5" customHeight="1" x14ac:dyDescent="0.25">
      <c r="A63" s="40"/>
      <c r="B63" s="70"/>
      <c r="C63" s="42"/>
      <c r="D63" s="42"/>
      <c r="E63" s="71"/>
      <c r="F63" s="42"/>
      <c r="G63" s="72"/>
      <c r="H63" s="43"/>
      <c r="I63" s="45"/>
      <c r="J63" s="43"/>
      <c r="K63" s="44"/>
      <c r="L63" s="43"/>
      <c r="M63" s="44"/>
      <c r="N63" s="39"/>
      <c r="O63" s="38"/>
      <c r="P63" s="2"/>
      <c r="Q63" s="44"/>
    </row>
    <row r="64" spans="1:17" ht="24" customHeight="1" x14ac:dyDescent="0.25">
      <c r="A64" s="73" t="s">
        <v>75</v>
      </c>
      <c r="B64" s="74"/>
      <c r="C64" s="16"/>
      <c r="D64" s="16"/>
      <c r="E64" s="5"/>
      <c r="F64" s="6" t="s">
        <v>19</v>
      </c>
      <c r="G64" s="51">
        <f>SUM(G41:G63)</f>
        <v>21372</v>
      </c>
      <c r="H64" s="43" t="s">
        <v>19</v>
      </c>
      <c r="I64" s="51">
        <f t="shared" ref="I64:Q64" si="13">SUM(I41:I63)</f>
        <v>31147</v>
      </c>
      <c r="J64" s="43" t="s">
        <v>19</v>
      </c>
      <c r="K64" s="51">
        <f t="shared" si="13"/>
        <v>37155</v>
      </c>
      <c r="L64" s="43" t="s">
        <v>19</v>
      </c>
      <c r="M64" s="51">
        <f>SUM(M41:M63)</f>
        <v>37155</v>
      </c>
      <c r="N64" s="43" t="s">
        <v>19</v>
      </c>
      <c r="O64" s="51">
        <f t="shared" si="13"/>
        <v>37155</v>
      </c>
      <c r="P64" s="43" t="s">
        <v>19</v>
      </c>
      <c r="Q64" s="51">
        <f t="shared" si="13"/>
        <v>37155</v>
      </c>
    </row>
    <row r="65" spans="1:17" ht="24" customHeight="1" thickBot="1" x14ac:dyDescent="0.3">
      <c r="A65" s="52" t="s">
        <v>76</v>
      </c>
      <c r="B65" s="17"/>
      <c r="C65" s="16"/>
      <c r="D65" s="16"/>
      <c r="E65" s="5"/>
      <c r="F65" s="6" t="s">
        <v>19</v>
      </c>
      <c r="G65" s="75">
        <f>+G64+G24</f>
        <v>952114</v>
      </c>
      <c r="H65" s="43" t="s">
        <v>19</v>
      </c>
      <c r="I65" s="75">
        <f>+I64+I24</f>
        <v>1009401</v>
      </c>
      <c r="J65" s="43" t="s">
        <v>19</v>
      </c>
      <c r="K65" s="75">
        <f>+K64+K24</f>
        <v>1009974</v>
      </c>
      <c r="L65" s="43" t="s">
        <v>19</v>
      </c>
      <c r="M65" s="75">
        <f>+M64+M24</f>
        <v>1009974</v>
      </c>
      <c r="N65" s="39" t="s">
        <v>19</v>
      </c>
      <c r="O65" s="75">
        <f>+O64+O24</f>
        <v>1009974</v>
      </c>
      <c r="P65" s="39" t="s">
        <v>19</v>
      </c>
      <c r="Q65" s="75">
        <f>+Q64+Q24</f>
        <v>1009974</v>
      </c>
    </row>
    <row r="66" spans="1:17" ht="15.75" thickTop="1" x14ac:dyDescent="0.25">
      <c r="A66" s="16"/>
      <c r="B66" s="17"/>
      <c r="C66" s="16"/>
      <c r="D66" s="16"/>
      <c r="E66" s="5"/>
      <c r="F66" s="6"/>
      <c r="G66" s="36"/>
      <c r="H66" s="6"/>
      <c r="I66" s="36"/>
      <c r="J66" s="6"/>
      <c r="K66" s="36"/>
      <c r="L66" s="6"/>
      <c r="M66" s="36"/>
      <c r="N66" s="53"/>
      <c r="O66" s="36"/>
      <c r="P66" s="2"/>
      <c r="Q66" s="36"/>
    </row>
    <row r="67" spans="1:17" hidden="1" x14ac:dyDescent="0.25">
      <c r="A67" s="15"/>
      <c r="B67" s="29"/>
      <c r="C67" s="15"/>
      <c r="D67" s="15"/>
      <c r="E67" s="71"/>
      <c r="F67" s="42"/>
      <c r="G67" s="45"/>
      <c r="H67" s="67"/>
      <c r="I67" s="45"/>
      <c r="J67" s="67"/>
      <c r="K67" s="45"/>
      <c r="L67" s="67"/>
      <c r="M67" s="45"/>
      <c r="N67" s="15"/>
      <c r="O67" s="45"/>
      <c r="P67" s="2"/>
      <c r="Q67" s="45"/>
    </row>
    <row r="68" spans="1:17" hidden="1" x14ac:dyDescent="0.25">
      <c r="A68" s="28" t="s">
        <v>77</v>
      </c>
      <c r="B68" s="29"/>
      <c r="C68" s="15"/>
      <c r="D68" s="15"/>
      <c r="E68" s="71"/>
      <c r="F68" s="42"/>
      <c r="G68" s="76">
        <v>952114</v>
      </c>
      <c r="H68" s="42"/>
      <c r="I68" s="76">
        <v>1009401</v>
      </c>
      <c r="J68" s="67"/>
      <c r="K68" s="45"/>
      <c r="L68" s="67"/>
      <c r="M68" s="45"/>
      <c r="N68" s="15"/>
      <c r="O68" s="45"/>
      <c r="P68" s="2"/>
      <c r="Q68" s="45"/>
    </row>
    <row r="69" spans="1:17" hidden="1" x14ac:dyDescent="0.25">
      <c r="A69" s="28" t="s">
        <v>78</v>
      </c>
      <c r="B69" s="29"/>
      <c r="C69" s="15"/>
      <c r="D69" s="15"/>
      <c r="E69" s="71"/>
      <c r="F69" s="42"/>
      <c r="G69" s="44">
        <f>G65-G68</f>
        <v>0</v>
      </c>
      <c r="H69" s="43"/>
      <c r="I69" s="44">
        <f>I65-I68</f>
        <v>0</v>
      </c>
      <c r="J69" s="67"/>
      <c r="K69" s="45"/>
      <c r="L69" s="67"/>
      <c r="M69" s="45"/>
      <c r="N69" s="15"/>
      <c r="O69" s="45"/>
      <c r="P69" s="2"/>
      <c r="Q69" s="45"/>
    </row>
    <row r="70" spans="1:17" hidden="1" x14ac:dyDescent="0.25">
      <c r="A70" s="15"/>
      <c r="B70" s="29"/>
      <c r="C70" s="15"/>
      <c r="D70" s="15"/>
      <c r="E70" s="71"/>
      <c r="F70" s="42"/>
      <c r="G70" s="45"/>
      <c r="H70" s="67"/>
      <c r="I70" s="45"/>
      <c r="J70" s="67"/>
      <c r="K70" s="45"/>
      <c r="L70" s="67"/>
      <c r="M70" s="45"/>
      <c r="N70" s="15"/>
      <c r="O70" s="45"/>
      <c r="P70" s="2"/>
      <c r="Q70" s="45"/>
    </row>
    <row r="71" spans="1:17" hidden="1" x14ac:dyDescent="0.25">
      <c r="A71" s="15"/>
      <c r="B71" s="29"/>
      <c r="C71" s="15"/>
      <c r="D71" s="15"/>
      <c r="E71" s="71"/>
      <c r="F71" s="42"/>
      <c r="G71" s="15"/>
      <c r="H71" s="42"/>
      <c r="I71" s="15"/>
      <c r="J71" s="42"/>
      <c r="K71" s="15"/>
      <c r="L71" s="42"/>
      <c r="M71" s="15"/>
      <c r="N71" s="15"/>
      <c r="O71" s="15"/>
      <c r="P71" s="2"/>
      <c r="Q71" s="15"/>
    </row>
    <row r="72" spans="1:17" hidden="1" x14ac:dyDescent="0.25">
      <c r="A72" s="15"/>
      <c r="B72" s="29" t="s">
        <v>79</v>
      </c>
      <c r="C72" s="15" t="s">
        <v>80</v>
      </c>
      <c r="D72" s="15"/>
      <c r="E72" s="71"/>
      <c r="F72" s="42"/>
      <c r="G72" s="77" t="s">
        <v>81</v>
      </c>
      <c r="H72" s="42"/>
      <c r="I72" s="15"/>
      <c r="J72" s="42"/>
      <c r="K72" s="15"/>
      <c r="L72" s="42"/>
      <c r="M72" s="15"/>
      <c r="N72" s="15"/>
      <c r="O72" s="15"/>
      <c r="P72" s="2"/>
      <c r="Q72" s="15"/>
    </row>
    <row r="73" spans="1:17" hidden="1" x14ac:dyDescent="0.25">
      <c r="A73" s="15" t="s">
        <v>82</v>
      </c>
      <c r="B73" s="29">
        <v>715227.03</v>
      </c>
      <c r="C73" s="15">
        <v>682481.86</v>
      </c>
      <c r="D73" s="15"/>
      <c r="E73" s="71"/>
      <c r="F73" s="42"/>
      <c r="G73" s="15" t="str">
        <f>VLOOKUP(A73,E:E,1,FALSE)</f>
        <v>00109110501201</v>
      </c>
      <c r="H73" s="42"/>
      <c r="I73" s="15"/>
      <c r="J73" s="42"/>
      <c r="K73" s="15"/>
      <c r="L73" s="42"/>
      <c r="M73" s="15"/>
      <c r="N73" s="15"/>
      <c r="O73" s="15"/>
      <c r="P73" s="2"/>
      <c r="Q73" s="15"/>
    </row>
    <row r="74" spans="1:17" hidden="1" x14ac:dyDescent="0.25">
      <c r="A74" s="15" t="s">
        <v>83</v>
      </c>
      <c r="B74" s="29">
        <v>11688.75</v>
      </c>
      <c r="C74" s="15">
        <v>7822.5</v>
      </c>
      <c r="D74" s="15"/>
      <c r="E74" s="71"/>
      <c r="F74" s="42"/>
      <c r="G74" s="15" t="str">
        <f t="shared" ref="G74:G108" si="14">VLOOKUP(A74,E:E,1,FALSE)</f>
        <v>00109110501315</v>
      </c>
      <c r="H74" s="42"/>
      <c r="I74" s="44"/>
      <c r="J74" s="42"/>
      <c r="K74" s="15"/>
      <c r="L74" s="42"/>
      <c r="M74" s="15"/>
      <c r="N74" s="15"/>
      <c r="O74" s="15"/>
      <c r="P74" s="2"/>
      <c r="Q74" s="15"/>
    </row>
    <row r="75" spans="1:17" hidden="1" x14ac:dyDescent="0.25">
      <c r="A75" s="15" t="s">
        <v>84</v>
      </c>
      <c r="B75" s="29">
        <v>2658.12</v>
      </c>
      <c r="C75" s="15">
        <v>1100.4000000000001</v>
      </c>
      <c r="D75" s="15"/>
      <c r="E75" s="71"/>
      <c r="F75" s="42"/>
      <c r="G75" s="15" t="str">
        <f t="shared" si="14"/>
        <v>00109110501400</v>
      </c>
      <c r="H75" s="42"/>
      <c r="I75" s="44"/>
      <c r="J75" s="42"/>
      <c r="K75" s="15"/>
      <c r="L75" s="42"/>
      <c r="M75" s="15"/>
      <c r="N75" s="15"/>
      <c r="O75" s="15"/>
      <c r="P75" s="2"/>
      <c r="Q75" s="15"/>
    </row>
    <row r="76" spans="1:17" hidden="1" x14ac:dyDescent="0.25">
      <c r="A76" s="15" t="s">
        <v>85</v>
      </c>
      <c r="B76" s="29">
        <v>0</v>
      </c>
      <c r="C76" s="15">
        <v>0</v>
      </c>
      <c r="D76" s="15"/>
      <c r="E76" s="71"/>
      <c r="F76" s="42"/>
      <c r="G76" s="15" t="str">
        <f t="shared" si="14"/>
        <v>00109110501401</v>
      </c>
      <c r="H76" s="42"/>
      <c r="I76" s="44"/>
      <c r="J76" s="42"/>
      <c r="K76" s="15"/>
      <c r="L76" s="42"/>
      <c r="M76" s="15"/>
      <c r="N76" s="15"/>
      <c r="O76" s="15"/>
      <c r="P76" s="2"/>
      <c r="Q76" s="15"/>
    </row>
    <row r="77" spans="1:17" hidden="1" x14ac:dyDescent="0.25">
      <c r="A77" s="15" t="s">
        <v>86</v>
      </c>
      <c r="B77" s="29">
        <v>0</v>
      </c>
      <c r="C77" s="15">
        <v>0</v>
      </c>
      <c r="D77" s="15"/>
      <c r="E77" s="71"/>
      <c r="F77" s="42"/>
      <c r="G77" s="15" t="str">
        <f t="shared" si="14"/>
        <v>00109110501600</v>
      </c>
      <c r="H77" s="42"/>
      <c r="I77" s="44"/>
      <c r="J77" s="42"/>
      <c r="K77" s="15"/>
      <c r="L77" s="42"/>
      <c r="M77" s="15"/>
      <c r="N77" s="15"/>
      <c r="O77" s="15"/>
      <c r="P77" s="2"/>
      <c r="Q77" s="15"/>
    </row>
    <row r="78" spans="1:17" hidden="1" x14ac:dyDescent="0.25">
      <c r="A78" s="15" t="s">
        <v>87</v>
      </c>
      <c r="B78" s="29">
        <v>12048.89</v>
      </c>
      <c r="C78" s="15">
        <v>12040.18</v>
      </c>
      <c r="D78" s="15"/>
      <c r="E78" s="71"/>
      <c r="F78" s="42"/>
      <c r="G78" s="15" t="str">
        <f t="shared" si="14"/>
        <v>00109110501701</v>
      </c>
      <c r="H78" s="42"/>
      <c r="I78" s="44"/>
      <c r="J78" s="42"/>
      <c r="K78" s="15"/>
      <c r="L78" s="42"/>
      <c r="M78" s="15"/>
      <c r="N78" s="15"/>
      <c r="O78" s="15"/>
      <c r="P78" s="2"/>
      <c r="Q78" s="15"/>
    </row>
    <row r="79" spans="1:17" hidden="1" x14ac:dyDescent="0.25">
      <c r="A79" s="15" t="s">
        <v>88</v>
      </c>
      <c r="B79" s="29">
        <v>6810.57</v>
      </c>
      <c r="C79" s="15">
        <v>6623.18</v>
      </c>
      <c r="D79" s="15"/>
      <c r="E79" s="71"/>
      <c r="F79" s="42"/>
      <c r="G79" s="15" t="str">
        <f t="shared" si="14"/>
        <v>00109110501702</v>
      </c>
      <c r="H79" s="42"/>
      <c r="I79" s="44"/>
      <c r="J79" s="42"/>
      <c r="K79" s="15"/>
      <c r="L79" s="42"/>
      <c r="M79" s="15"/>
      <c r="N79" s="15"/>
      <c r="O79" s="15"/>
      <c r="P79" s="2"/>
      <c r="Q79" s="15"/>
    </row>
    <row r="80" spans="1:17" hidden="1" x14ac:dyDescent="0.25">
      <c r="A80" s="15" t="s">
        <v>89</v>
      </c>
      <c r="B80" s="29">
        <v>0</v>
      </c>
      <c r="C80" s="15">
        <v>0</v>
      </c>
      <c r="D80" s="15"/>
      <c r="E80" s="71"/>
      <c r="F80" s="42"/>
      <c r="G80" s="15" t="str">
        <f t="shared" si="14"/>
        <v>00109110501800</v>
      </c>
      <c r="H80" s="42"/>
      <c r="I80" s="44"/>
      <c r="J80" s="42"/>
      <c r="K80" s="15"/>
      <c r="L80" s="42"/>
      <c r="M80" s="15"/>
      <c r="N80" s="15"/>
      <c r="O80" s="15"/>
      <c r="P80" s="2"/>
      <c r="Q80" s="15"/>
    </row>
    <row r="81" spans="1:17" hidden="1" x14ac:dyDescent="0.25">
      <c r="A81" s="15" t="s">
        <v>90</v>
      </c>
      <c r="B81" s="29">
        <v>56287.76</v>
      </c>
      <c r="C81" s="15">
        <v>53676.55</v>
      </c>
      <c r="D81" s="15"/>
      <c r="E81" s="71"/>
      <c r="F81" s="42"/>
      <c r="G81" s="15" t="str">
        <f t="shared" si="14"/>
        <v>00109110502100</v>
      </c>
      <c r="H81" s="42"/>
      <c r="I81" s="44"/>
      <c r="J81" s="42"/>
      <c r="K81" s="15"/>
      <c r="L81" s="42"/>
      <c r="M81" s="15"/>
      <c r="N81" s="15"/>
      <c r="O81" s="15"/>
      <c r="P81" s="2"/>
      <c r="Q81" s="15"/>
    </row>
    <row r="82" spans="1:17" hidden="1" x14ac:dyDescent="0.25">
      <c r="A82" t="s">
        <v>91</v>
      </c>
      <c r="B82" s="78">
        <v>0</v>
      </c>
      <c r="C82">
        <v>0</v>
      </c>
      <c r="G82" s="15" t="e">
        <f t="shared" si="14"/>
        <v>#N/A</v>
      </c>
    </row>
    <row r="83" spans="1:17" hidden="1" x14ac:dyDescent="0.25">
      <c r="A83" t="s">
        <v>92</v>
      </c>
      <c r="B83" s="78">
        <v>84375.34</v>
      </c>
      <c r="C83">
        <v>83410.28</v>
      </c>
      <c r="G83" s="15" t="str">
        <f t="shared" si="14"/>
        <v>00109110502200</v>
      </c>
    </row>
    <row r="84" spans="1:17" hidden="1" x14ac:dyDescent="0.25">
      <c r="A84" t="s">
        <v>93</v>
      </c>
      <c r="B84" s="78">
        <v>87747.99</v>
      </c>
      <c r="C84">
        <v>82198.649999999994</v>
      </c>
      <c r="G84" s="15" t="str">
        <f t="shared" si="14"/>
        <v>00109110502300</v>
      </c>
    </row>
    <row r="85" spans="1:17" hidden="1" x14ac:dyDescent="0.25">
      <c r="A85" t="s">
        <v>94</v>
      </c>
      <c r="B85" s="78">
        <v>1408.88</v>
      </c>
      <c r="C85">
        <v>1387.73</v>
      </c>
      <c r="G85" s="15" t="str">
        <f t="shared" si="14"/>
        <v>00109110502400</v>
      </c>
    </row>
    <row r="86" spans="1:17" hidden="1" x14ac:dyDescent="0.25">
      <c r="A86" t="s">
        <v>95</v>
      </c>
      <c r="B86" s="78">
        <v>2807.4</v>
      </c>
      <c r="C86">
        <v>2716.91</v>
      </c>
      <c r="G86" s="15" t="str">
        <f t="shared" si="14"/>
        <v>00109110503403</v>
      </c>
    </row>
    <row r="87" spans="1:17" hidden="1" x14ac:dyDescent="0.25">
      <c r="A87" t="s">
        <v>96</v>
      </c>
      <c r="B87" s="78">
        <v>0</v>
      </c>
      <c r="C87">
        <v>0</v>
      </c>
      <c r="G87" s="15" t="str">
        <f t="shared" si="14"/>
        <v>00109110503470</v>
      </c>
    </row>
    <row r="88" spans="1:17" hidden="1" x14ac:dyDescent="0.25">
      <c r="A88" t="s">
        <v>97</v>
      </c>
      <c r="B88" s="78">
        <v>442.28</v>
      </c>
      <c r="C88">
        <v>0</v>
      </c>
      <c r="G88" s="15" t="str">
        <f t="shared" si="14"/>
        <v>00109110503901</v>
      </c>
    </row>
    <row r="89" spans="1:17" hidden="1" x14ac:dyDescent="0.25">
      <c r="A89" t="s">
        <v>98</v>
      </c>
      <c r="B89" s="78">
        <v>0</v>
      </c>
      <c r="C89">
        <v>0</v>
      </c>
      <c r="G89" s="15" t="e">
        <f t="shared" si="14"/>
        <v>#N/A</v>
      </c>
    </row>
    <row r="90" spans="1:17" hidden="1" x14ac:dyDescent="0.25">
      <c r="A90" t="s">
        <v>99</v>
      </c>
      <c r="B90" s="78">
        <v>7089.93</v>
      </c>
      <c r="C90">
        <v>1555.12</v>
      </c>
      <c r="G90" s="15" t="str">
        <f t="shared" si="14"/>
        <v>00109110504060</v>
      </c>
    </row>
    <row r="91" spans="1:17" hidden="1" x14ac:dyDescent="0.25">
      <c r="A91" t="s">
        <v>100</v>
      </c>
      <c r="B91" s="78">
        <v>5919.87</v>
      </c>
      <c r="C91">
        <v>2819.11</v>
      </c>
      <c r="G91" s="15" t="str">
        <f t="shared" si="14"/>
        <v>00109110504070</v>
      </c>
    </row>
    <row r="92" spans="1:17" hidden="1" x14ac:dyDescent="0.25">
      <c r="A92" t="s">
        <v>101</v>
      </c>
      <c r="B92" s="78">
        <v>0</v>
      </c>
      <c r="C92">
        <v>0</v>
      </c>
      <c r="G92" s="15" t="e">
        <f t="shared" si="14"/>
        <v>#N/A</v>
      </c>
    </row>
    <row r="93" spans="1:17" hidden="1" x14ac:dyDescent="0.25">
      <c r="A93" t="s">
        <v>102</v>
      </c>
      <c r="B93" s="78">
        <v>7384.98</v>
      </c>
      <c r="C93">
        <v>6993.68</v>
      </c>
      <c r="G93" s="15" t="str">
        <f t="shared" si="14"/>
        <v>00109110504124</v>
      </c>
    </row>
    <row r="94" spans="1:17" hidden="1" x14ac:dyDescent="0.25">
      <c r="A94" t="s">
        <v>103</v>
      </c>
      <c r="B94" s="78">
        <v>0</v>
      </c>
      <c r="C94">
        <v>0</v>
      </c>
      <c r="G94" s="15" t="str">
        <f t="shared" si="14"/>
        <v>00109110504401</v>
      </c>
    </row>
    <row r="95" spans="1:17" hidden="1" x14ac:dyDescent="0.25">
      <c r="A95" t="s">
        <v>104</v>
      </c>
      <c r="B95" s="78">
        <v>0</v>
      </c>
      <c r="C95">
        <v>0</v>
      </c>
      <c r="G95" s="15" t="str">
        <f t="shared" si="14"/>
        <v>00109110504450</v>
      </c>
    </row>
    <row r="96" spans="1:17" hidden="1" x14ac:dyDescent="0.25">
      <c r="A96" t="s">
        <v>105</v>
      </c>
      <c r="B96" s="78">
        <v>315.7</v>
      </c>
      <c r="C96">
        <v>430.96</v>
      </c>
      <c r="G96" s="15" t="str">
        <f t="shared" si="14"/>
        <v>00109110504710</v>
      </c>
    </row>
    <row r="97" spans="1:7" hidden="1" x14ac:dyDescent="0.25">
      <c r="A97" t="s">
        <v>106</v>
      </c>
      <c r="B97" s="78">
        <v>0</v>
      </c>
      <c r="C97">
        <v>0</v>
      </c>
      <c r="G97" s="15" t="e">
        <f t="shared" si="14"/>
        <v>#N/A</v>
      </c>
    </row>
    <row r="98" spans="1:7" hidden="1" x14ac:dyDescent="0.25">
      <c r="A98" t="s">
        <v>107</v>
      </c>
      <c r="B98" s="78">
        <v>5622</v>
      </c>
      <c r="C98">
        <v>4688.88</v>
      </c>
      <c r="G98" s="15" t="str">
        <f t="shared" si="14"/>
        <v>00109110505101</v>
      </c>
    </row>
    <row r="99" spans="1:7" hidden="1" x14ac:dyDescent="0.25">
      <c r="A99" t="s">
        <v>108</v>
      </c>
      <c r="B99" s="78">
        <v>0</v>
      </c>
      <c r="C99">
        <v>0</v>
      </c>
      <c r="G99" s="15" t="str">
        <f t="shared" si="14"/>
        <v>00109110505201</v>
      </c>
    </row>
    <row r="100" spans="1:7" hidden="1" x14ac:dyDescent="0.25">
      <c r="A100" t="s">
        <v>109</v>
      </c>
      <c r="B100" s="78">
        <v>0</v>
      </c>
      <c r="C100">
        <v>373.09</v>
      </c>
      <c r="G100" s="15" t="str">
        <f t="shared" si="14"/>
        <v>00109110505260</v>
      </c>
    </row>
    <row r="101" spans="1:7" hidden="1" x14ac:dyDescent="0.25">
      <c r="A101" t="s">
        <v>110</v>
      </c>
      <c r="B101" s="78">
        <v>1509</v>
      </c>
      <c r="C101">
        <v>1795</v>
      </c>
      <c r="G101" s="15" t="str">
        <f t="shared" si="14"/>
        <v>00109110505401</v>
      </c>
    </row>
    <row r="102" spans="1:7" hidden="1" x14ac:dyDescent="0.25">
      <c r="A102" t="s">
        <v>111</v>
      </c>
      <c r="B102" s="78">
        <v>57</v>
      </c>
      <c r="C102">
        <v>0</v>
      </c>
      <c r="G102" s="15" t="str">
        <f t="shared" si="14"/>
        <v>00109110505550</v>
      </c>
    </row>
    <row r="103" spans="1:7" hidden="1" x14ac:dyDescent="0.25">
      <c r="A103" t="s">
        <v>112</v>
      </c>
      <c r="B103" s="78">
        <v>0</v>
      </c>
      <c r="C103">
        <v>0</v>
      </c>
      <c r="G103" s="15" t="str">
        <f t="shared" si="14"/>
        <v>00109110505710</v>
      </c>
    </row>
    <row r="104" spans="1:7" hidden="1" x14ac:dyDescent="0.25">
      <c r="A104" t="s">
        <v>113</v>
      </c>
      <c r="B104" s="78">
        <v>0</v>
      </c>
      <c r="C104">
        <v>0</v>
      </c>
      <c r="G104" s="15" t="e">
        <f t="shared" si="14"/>
        <v>#N/A</v>
      </c>
    </row>
    <row r="105" spans="1:7" hidden="1" x14ac:dyDescent="0.25">
      <c r="A105" t="s">
        <v>114</v>
      </c>
      <c r="B105" s="78">
        <v>0</v>
      </c>
      <c r="C105">
        <v>0</v>
      </c>
      <c r="G105" s="15" t="str">
        <f t="shared" si="14"/>
        <v>00109110505801</v>
      </c>
    </row>
    <row r="106" spans="1:7" hidden="1" x14ac:dyDescent="0.25">
      <c r="A106" t="s">
        <v>115</v>
      </c>
      <c r="B106" s="78">
        <v>0</v>
      </c>
      <c r="C106">
        <v>0</v>
      </c>
      <c r="G106" s="15" t="e">
        <f t="shared" si="14"/>
        <v>#N/A</v>
      </c>
    </row>
    <row r="107" spans="1:7" hidden="1" x14ac:dyDescent="0.25">
      <c r="A107" t="s">
        <v>116</v>
      </c>
      <c r="B107" s="78">
        <v>0</v>
      </c>
      <c r="C107">
        <v>0</v>
      </c>
      <c r="G107" s="15" t="e">
        <f t="shared" si="14"/>
        <v>#N/A</v>
      </c>
    </row>
    <row r="108" spans="1:7" hidden="1" x14ac:dyDescent="0.25">
      <c r="A108" t="s">
        <v>117</v>
      </c>
      <c r="B108" s="78">
        <v>0</v>
      </c>
      <c r="C108">
        <v>0</v>
      </c>
      <c r="G108" s="15" t="e">
        <f t="shared" si="14"/>
        <v>#N/A</v>
      </c>
    </row>
    <row r="109" spans="1:7" hidden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  <rowBreaks count="1" manualBreakCount="1">
    <brk id="3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77FF-C172-4A5A-BF84-C0DE77C444C3}">
  <sheetPr>
    <tabColor rgb="FF9966FF"/>
    <pageSetUpPr autoPageBreaks="0"/>
  </sheetPr>
  <dimension ref="A1:V275"/>
  <sheetViews>
    <sheetView showGridLines="0" zoomScaleNormal="100" zoomScaleSheetLayoutView="100" workbookViewId="0">
      <pane ySplit="10" topLeftCell="A25" activePane="bottomLeft" state="frozen"/>
      <selection activeCell="G72" sqref="G72:G73"/>
      <selection pane="bottomLeft" activeCell="A60" sqref="A60:XFD104"/>
    </sheetView>
  </sheetViews>
  <sheetFormatPr defaultColWidth="9.140625" defaultRowHeight="15" x14ac:dyDescent="0.25"/>
  <cols>
    <col min="1" max="1" width="35.28515625" style="15" customWidth="1"/>
    <col min="2" max="2" width="9.2851562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86" hidden="1" customWidth="1"/>
    <col min="16" max="16" width="1.7109375" style="2" hidden="1" customWidth="1"/>
    <col min="17" max="17" width="9.7109375" style="15" hidden="1" customWidth="1"/>
    <col min="18" max="18" width="26.7109375" customWidth="1"/>
    <col min="23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2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8"/>
      <c r="B3" s="80"/>
      <c r="C3" s="8"/>
      <c r="D3" s="8"/>
      <c r="G3" s="8"/>
      <c r="I3" s="81"/>
      <c r="K3" s="8"/>
      <c r="M3" s="8"/>
      <c r="N3" s="8"/>
      <c r="O3" s="82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2"/>
    </row>
    <row r="5" spans="1:18" ht="13.15" customHeight="1" x14ac:dyDescent="0.25">
      <c r="A5" s="83" t="s">
        <v>118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2"/>
    </row>
    <row r="6" spans="1:18" ht="13.15" customHeight="1" x14ac:dyDescent="0.25">
      <c r="A6" s="83" t="s">
        <v>119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2"/>
    </row>
    <row r="7" spans="1:18" ht="13.15" customHeight="1" x14ac:dyDescent="0.25">
      <c r="A7" s="84"/>
      <c r="B7" s="85"/>
      <c r="C7" s="84"/>
      <c r="D7" s="84"/>
    </row>
    <row r="8" spans="1:18" ht="11.45" customHeight="1" x14ac:dyDescent="0.25">
      <c r="F8" s="87"/>
      <c r="G8" s="88"/>
      <c r="H8" s="89"/>
      <c r="I8" s="90"/>
      <c r="J8" s="89"/>
      <c r="K8" s="88"/>
      <c r="L8" s="91" t="s">
        <v>4</v>
      </c>
      <c r="M8" s="22">
        <f>' 911 Admin'!M8</f>
        <v>2027</v>
      </c>
      <c r="N8" s="22"/>
      <c r="O8" s="22"/>
      <c r="P8" s="22"/>
      <c r="Q8" s="22"/>
    </row>
    <row r="9" spans="1:18" ht="11.45" customHeight="1" x14ac:dyDescent="0.25">
      <c r="C9" s="21"/>
      <c r="D9" s="21"/>
      <c r="E9" s="23"/>
      <c r="F9" s="24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ht="11.45" customHeight="1" x14ac:dyDescent="0.25">
      <c r="B10" s="26" t="s">
        <v>8</v>
      </c>
      <c r="C10" s="26" t="s">
        <v>9</v>
      </c>
      <c r="D10" s="26" t="s">
        <v>10</v>
      </c>
      <c r="E10" s="23"/>
      <c r="F10" s="24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5" t="s">
        <v>1025</v>
      </c>
    </row>
    <row r="11" spans="1:18" ht="13.5" customHeight="1" x14ac:dyDescent="0.25">
      <c r="A11" s="28" t="s">
        <v>16</v>
      </c>
      <c r="I11" s="15"/>
      <c r="M11" s="86"/>
      <c r="Q11" s="86"/>
    </row>
    <row r="12" spans="1:18" ht="13.5" customHeight="1" x14ac:dyDescent="0.25">
      <c r="A12" s="92" t="s">
        <v>120</v>
      </c>
      <c r="B12" s="93" t="s">
        <v>121</v>
      </c>
      <c r="C12" s="69">
        <v>501201</v>
      </c>
      <c r="D12" s="69"/>
      <c r="E12" s="94" t="str">
        <f>_xlfn.CONCAT(B12,C12,D12)</f>
        <v>00109120501201</v>
      </c>
      <c r="F12" s="95" t="s">
        <v>19</v>
      </c>
      <c r="G12" s="34">
        <f>ROUND(IFERROR(VLOOKUP(_xlfn.CONCAT($B12,$C12,$D12),$A$66:$C$9993,3,FALSE),0),0)</f>
        <v>0</v>
      </c>
      <c r="H12" s="67" t="s">
        <v>19</v>
      </c>
      <c r="I12" s="34">
        <f>ROUND(IFERROR(VLOOKUP(_xlfn.CONCAT($B12,$C12,$D12),$A$66:$C$9993,2,FALSE),0),0)</f>
        <v>428</v>
      </c>
      <c r="J12" s="67" t="s">
        <v>19</v>
      </c>
      <c r="K12" s="45">
        <v>0</v>
      </c>
      <c r="L12" s="67" t="s">
        <v>19</v>
      </c>
      <c r="M12" s="45">
        <f>'[1]Payroll Summary by Department'!C61</f>
        <v>0</v>
      </c>
      <c r="N12" s="96" t="s">
        <v>19</v>
      </c>
      <c r="O12" s="45">
        <f>M12</f>
        <v>0</v>
      </c>
      <c r="P12" s="96" t="s">
        <v>19</v>
      </c>
      <c r="Q12" s="45">
        <f>O12</f>
        <v>0</v>
      </c>
    </row>
    <row r="13" spans="1:18" ht="13.5" customHeight="1" x14ac:dyDescent="0.25">
      <c r="A13" s="92" t="s">
        <v>122</v>
      </c>
      <c r="B13" s="93" t="s">
        <v>121</v>
      </c>
      <c r="C13" s="69">
        <v>501305</v>
      </c>
      <c r="D13" s="69"/>
      <c r="E13" s="94" t="str">
        <f t="shared" ref="E13:E55" si="0">_xlfn.CONCAT(B13,C13,D13)</f>
        <v>00109120501305</v>
      </c>
      <c r="F13" s="95"/>
      <c r="G13" s="34">
        <f t="shared" ref="G13:G20" si="1">ROUND(IFERROR(VLOOKUP(_xlfn.CONCAT($B13,$C13,$D13),$A$66:$C$9993,3,FALSE),0),0)</f>
        <v>18236</v>
      </c>
      <c r="H13" s="67"/>
      <c r="I13" s="34">
        <f t="shared" ref="I13:I20" si="2">ROUND(IFERROR(VLOOKUP(_xlfn.CONCAT($B13,$C13,$D13),$A$66:$C$9993,2,FALSE),0),0)</f>
        <v>20223</v>
      </c>
      <c r="J13" s="67"/>
      <c r="K13" s="45">
        <v>25000</v>
      </c>
      <c r="L13" s="67"/>
      <c r="M13" s="45">
        <v>25000</v>
      </c>
      <c r="N13" s="96"/>
      <c r="O13" s="45">
        <f t="shared" ref="O13:O20" si="3">M13</f>
        <v>25000</v>
      </c>
      <c r="Q13" s="45">
        <f t="shared" ref="Q13:Q20" si="4">O13</f>
        <v>25000</v>
      </c>
    </row>
    <row r="14" spans="1:18" ht="13.5" customHeight="1" x14ac:dyDescent="0.25">
      <c r="A14" s="40" t="s">
        <v>21</v>
      </c>
      <c r="B14" s="93" t="s">
        <v>121</v>
      </c>
      <c r="C14" s="42">
        <v>501400</v>
      </c>
      <c r="D14" s="42"/>
      <c r="E14" s="94" t="str">
        <f t="shared" si="0"/>
        <v>00109120501400</v>
      </c>
      <c r="F14" s="95"/>
      <c r="G14" s="34">
        <f t="shared" si="1"/>
        <v>43</v>
      </c>
      <c r="H14" s="67"/>
      <c r="I14" s="34">
        <f t="shared" si="2"/>
        <v>275</v>
      </c>
      <c r="J14" s="67"/>
      <c r="K14" s="45">
        <v>0</v>
      </c>
      <c r="L14" s="67"/>
      <c r="M14" s="72">
        <v>0</v>
      </c>
      <c r="N14" s="96"/>
      <c r="O14" s="45">
        <f t="shared" si="3"/>
        <v>0</v>
      </c>
      <c r="Q14" s="45">
        <f t="shared" si="4"/>
        <v>0</v>
      </c>
    </row>
    <row r="15" spans="1:18" ht="13.5" customHeight="1" x14ac:dyDescent="0.25">
      <c r="A15" s="40" t="s">
        <v>23</v>
      </c>
      <c r="B15" s="93" t="s">
        <v>121</v>
      </c>
      <c r="C15" s="69">
        <v>501600</v>
      </c>
      <c r="D15" s="69"/>
      <c r="E15" s="94" t="str">
        <f t="shared" si="0"/>
        <v>00109120501600</v>
      </c>
      <c r="G15" s="34">
        <f t="shared" si="1"/>
        <v>0</v>
      </c>
      <c r="H15" s="43"/>
      <c r="I15" s="34">
        <f t="shared" si="2"/>
        <v>0</v>
      </c>
      <c r="J15" s="43"/>
      <c r="K15" s="45">
        <v>0</v>
      </c>
      <c r="L15" s="43"/>
      <c r="M15" s="45">
        <f>'[1]Payroll Summary by Department'!I61</f>
        <v>0</v>
      </c>
      <c r="N15" s="44"/>
      <c r="O15" s="45">
        <f t="shared" si="3"/>
        <v>0</v>
      </c>
      <c r="Q15" s="45">
        <f t="shared" si="4"/>
        <v>0</v>
      </c>
    </row>
    <row r="16" spans="1:18" ht="13.5" customHeight="1" x14ac:dyDescent="0.25">
      <c r="A16" s="40" t="s">
        <v>26</v>
      </c>
      <c r="B16" s="93" t="s">
        <v>121</v>
      </c>
      <c r="C16" s="41">
        <v>501800</v>
      </c>
      <c r="D16" s="41"/>
      <c r="E16" s="94" t="str">
        <f t="shared" si="0"/>
        <v>00109120501800</v>
      </c>
      <c r="G16" s="34">
        <f t="shared" si="1"/>
        <v>0</v>
      </c>
      <c r="H16" s="43"/>
      <c r="I16" s="34">
        <f t="shared" si="2"/>
        <v>0</v>
      </c>
      <c r="J16" s="43"/>
      <c r="K16" s="45">
        <v>0</v>
      </c>
      <c r="L16" s="43"/>
      <c r="M16" s="45">
        <v>0</v>
      </c>
      <c r="N16" s="44"/>
      <c r="O16" s="45">
        <f t="shared" si="3"/>
        <v>0</v>
      </c>
      <c r="Q16" s="45">
        <f t="shared" si="4"/>
        <v>0</v>
      </c>
    </row>
    <row r="17" spans="1:17" ht="13.5" customHeight="1" x14ac:dyDescent="0.25">
      <c r="A17" s="40" t="s">
        <v>27</v>
      </c>
      <c r="B17" s="93" t="s">
        <v>121</v>
      </c>
      <c r="C17" s="69">
        <v>502100</v>
      </c>
      <c r="D17" s="69"/>
      <c r="E17" s="94" t="str">
        <f t="shared" si="0"/>
        <v>00109120502100</v>
      </c>
      <c r="G17" s="34">
        <f t="shared" si="1"/>
        <v>1398</v>
      </c>
      <c r="H17" s="43"/>
      <c r="I17" s="34">
        <f t="shared" si="2"/>
        <v>1601</v>
      </c>
      <c r="J17" s="43"/>
      <c r="K17" s="45">
        <v>1913</v>
      </c>
      <c r="L17" s="43"/>
      <c r="M17" s="45">
        <f>'[1]Payroll Summary by Department'!N61</f>
        <v>1913</v>
      </c>
      <c r="N17" s="44"/>
      <c r="O17" s="45">
        <f t="shared" si="3"/>
        <v>1913</v>
      </c>
      <c r="Q17" s="45">
        <f t="shared" si="4"/>
        <v>1913</v>
      </c>
    </row>
    <row r="18" spans="1:17" ht="13.5" customHeight="1" x14ac:dyDescent="0.25">
      <c r="A18" s="40" t="s">
        <v>28</v>
      </c>
      <c r="B18" s="93" t="s">
        <v>121</v>
      </c>
      <c r="C18" s="69">
        <v>502200</v>
      </c>
      <c r="D18" s="69"/>
      <c r="E18" s="94" t="str">
        <f t="shared" si="0"/>
        <v>00109120502200</v>
      </c>
      <c r="G18" s="34">
        <f t="shared" si="1"/>
        <v>0</v>
      </c>
      <c r="H18" s="43"/>
      <c r="I18" s="34">
        <f t="shared" si="2"/>
        <v>0</v>
      </c>
      <c r="J18" s="43"/>
      <c r="K18" s="45">
        <v>0</v>
      </c>
      <c r="L18" s="43"/>
      <c r="M18" s="45">
        <f>'[1]Payroll Summary by Department'!O61+'[1]Payroll Summary by Department'!P61</f>
        <v>0</v>
      </c>
      <c r="N18" s="44"/>
      <c r="O18" s="45">
        <f t="shared" si="3"/>
        <v>0</v>
      </c>
      <c r="Q18" s="45">
        <f t="shared" si="4"/>
        <v>0</v>
      </c>
    </row>
    <row r="19" spans="1:17" ht="13.5" customHeight="1" x14ac:dyDescent="0.25">
      <c r="A19" s="40" t="s">
        <v>29</v>
      </c>
      <c r="B19" s="93" t="s">
        <v>121</v>
      </c>
      <c r="C19" s="69">
        <v>502300</v>
      </c>
      <c r="D19" s="69"/>
      <c r="E19" s="94" t="str">
        <f t="shared" si="0"/>
        <v>00109120502300</v>
      </c>
      <c r="F19" s="67"/>
      <c r="G19" s="34">
        <f t="shared" si="1"/>
        <v>0</v>
      </c>
      <c r="H19" s="67"/>
      <c r="I19" s="34">
        <f t="shared" si="2"/>
        <v>0</v>
      </c>
      <c r="J19" s="67"/>
      <c r="K19" s="45">
        <v>0</v>
      </c>
      <c r="L19" s="67"/>
      <c r="M19" s="45">
        <f>'[1]Payroll Summary by Department'!Q61</f>
        <v>0</v>
      </c>
      <c r="N19" s="45"/>
      <c r="O19" s="45">
        <f t="shared" si="3"/>
        <v>0</v>
      </c>
      <c r="Q19" s="45">
        <f t="shared" si="4"/>
        <v>0</v>
      </c>
    </row>
    <row r="20" spans="1:17" ht="13.5" customHeight="1" x14ac:dyDescent="0.25">
      <c r="A20" s="40" t="s">
        <v>30</v>
      </c>
      <c r="B20" s="93" t="s">
        <v>121</v>
      </c>
      <c r="C20" s="69">
        <v>502400</v>
      </c>
      <c r="D20" s="69"/>
      <c r="E20" s="94" t="str">
        <f t="shared" si="0"/>
        <v>00109120502400</v>
      </c>
      <c r="G20" s="34">
        <f t="shared" si="1"/>
        <v>0</v>
      </c>
      <c r="H20" s="43"/>
      <c r="I20" s="34">
        <f t="shared" si="2"/>
        <v>0</v>
      </c>
      <c r="J20" s="43"/>
      <c r="K20" s="45">
        <v>0</v>
      </c>
      <c r="L20" s="43"/>
      <c r="M20" s="97">
        <f>'[1]Payroll Summary by Department'!R61</f>
        <v>0</v>
      </c>
      <c r="N20" s="44"/>
      <c r="O20" s="97">
        <f t="shared" si="3"/>
        <v>0</v>
      </c>
      <c r="Q20" s="45">
        <f t="shared" si="4"/>
        <v>0</v>
      </c>
    </row>
    <row r="21" spans="1:17" ht="23.1" customHeight="1" x14ac:dyDescent="0.25">
      <c r="A21" s="49" t="s">
        <v>31</v>
      </c>
      <c r="B21" s="50"/>
      <c r="E21" s="94" t="str">
        <f t="shared" si="0"/>
        <v/>
      </c>
      <c r="F21" s="95" t="s">
        <v>19</v>
      </c>
      <c r="G21" s="98">
        <f>SUM(G12:G20)</f>
        <v>19677</v>
      </c>
      <c r="H21" s="67" t="s">
        <v>19</v>
      </c>
      <c r="I21" s="98">
        <f>SUM(I12:I20)</f>
        <v>22527</v>
      </c>
      <c r="J21" s="67" t="s">
        <v>19</v>
      </c>
      <c r="K21" s="98">
        <f>SUM(K12:K20)</f>
        <v>26913</v>
      </c>
      <c r="L21" s="67" t="s">
        <v>19</v>
      </c>
      <c r="M21" s="97">
        <f>SUM(M12:M20)</f>
        <v>26913</v>
      </c>
      <c r="N21" s="96" t="s">
        <v>19</v>
      </c>
      <c r="O21" s="97">
        <f>SUM(O12:O20)</f>
        <v>26913</v>
      </c>
      <c r="P21" s="96" t="s">
        <v>19</v>
      </c>
      <c r="Q21" s="98">
        <f>SUM(Q12:Q20)</f>
        <v>26913</v>
      </c>
    </row>
    <row r="22" spans="1:17" ht="21.95" customHeight="1" x14ac:dyDescent="0.25">
      <c r="A22" s="99" t="s">
        <v>32</v>
      </c>
      <c r="E22" s="94" t="str">
        <f t="shared" si="0"/>
        <v/>
      </c>
      <c r="G22" s="45"/>
      <c r="I22" s="45"/>
      <c r="K22" s="45"/>
      <c r="M22" s="45"/>
      <c r="O22" s="45"/>
      <c r="Q22" s="45"/>
    </row>
    <row r="23" spans="1:17" ht="13.5" customHeight="1" x14ac:dyDescent="0.25">
      <c r="A23" s="100" t="s">
        <v>123</v>
      </c>
      <c r="B23" s="70"/>
      <c r="C23" s="15" t="s">
        <v>4</v>
      </c>
      <c r="E23" s="94" t="str">
        <f t="shared" si="0"/>
        <v xml:space="preserve"> </v>
      </c>
      <c r="G23" s="45"/>
      <c r="I23" s="45"/>
      <c r="K23" s="45"/>
      <c r="M23" s="45"/>
      <c r="O23" s="45"/>
      <c r="Q23" s="45"/>
    </row>
    <row r="24" spans="1:17" ht="13.5" customHeight="1" x14ac:dyDescent="0.25">
      <c r="A24" s="60" t="s">
        <v>45</v>
      </c>
      <c r="B24" s="61"/>
      <c r="C24" s="42" t="s">
        <v>46</v>
      </c>
      <c r="D24" s="42"/>
      <c r="E24" s="94" t="str">
        <f t="shared" si="0"/>
        <v>4C</v>
      </c>
      <c r="G24" s="101">
        <v>0</v>
      </c>
      <c r="I24" s="101">
        <v>0</v>
      </c>
      <c r="K24" s="101">
        <v>0</v>
      </c>
      <c r="M24" s="101">
        <v>0</v>
      </c>
      <c r="O24" s="101">
        <f>M24</f>
        <v>0</v>
      </c>
      <c r="Q24" s="101">
        <f>O24</f>
        <v>0</v>
      </c>
    </row>
    <row r="25" spans="1:17" ht="21.95" customHeight="1" thickBot="1" x14ac:dyDescent="0.3">
      <c r="A25" s="102" t="s">
        <v>51</v>
      </c>
      <c r="B25" s="61"/>
      <c r="E25" s="94" t="str">
        <f t="shared" si="0"/>
        <v/>
      </c>
      <c r="G25" s="103">
        <f>SUM(G24:G24)</f>
        <v>0</v>
      </c>
      <c r="I25" s="103">
        <f>SUM(I24:I24)</f>
        <v>0</v>
      </c>
      <c r="K25" s="103">
        <f>SUM(K24:K24)</f>
        <v>0</v>
      </c>
      <c r="M25" s="103">
        <f>SUM(M24:M24)</f>
        <v>0</v>
      </c>
      <c r="O25" s="103">
        <f>SUM(O24:O24)</f>
        <v>0</v>
      </c>
      <c r="Q25" s="103">
        <f>SUM(Q24:Q24)</f>
        <v>0</v>
      </c>
    </row>
    <row r="26" spans="1:17" ht="21.95" customHeight="1" thickTop="1" x14ac:dyDescent="0.25">
      <c r="A26" s="99" t="s">
        <v>52</v>
      </c>
      <c r="E26" s="94" t="str">
        <f t="shared" si="0"/>
        <v/>
      </c>
      <c r="G26" s="45"/>
      <c r="I26" s="45"/>
      <c r="K26" s="45"/>
      <c r="M26" s="45"/>
      <c r="O26" s="45"/>
      <c r="Q26" s="45"/>
    </row>
    <row r="27" spans="1:17" ht="13.5" customHeight="1" x14ac:dyDescent="0.25">
      <c r="A27" s="40" t="s">
        <v>124</v>
      </c>
      <c r="B27" s="93" t="s">
        <v>121</v>
      </c>
      <c r="C27" s="69">
        <v>503415</v>
      </c>
      <c r="E27" s="94" t="str">
        <f t="shared" si="0"/>
        <v>00109120503415</v>
      </c>
      <c r="F27" s="95" t="s">
        <v>19</v>
      </c>
      <c r="G27" s="34">
        <f t="shared" ref="G27:G55" si="5">ROUND(IFERROR(VLOOKUP(_xlfn.CONCAT($B27,$C27,$D27),$A$66:$C$9993,3,FALSE),0),0)</f>
        <v>0</v>
      </c>
      <c r="H27" s="67" t="s">
        <v>19</v>
      </c>
      <c r="I27" s="34">
        <f t="shared" ref="I27:I54" si="6">ROUND(IFERROR(VLOOKUP(_xlfn.CONCAT($B27,$C27,$D27),$A$66:$C$9993,2,FALSE),0),0)</f>
        <v>0</v>
      </c>
      <c r="J27" s="67" t="s">
        <v>19</v>
      </c>
      <c r="K27" s="45">
        <v>0</v>
      </c>
      <c r="L27" s="67" t="s">
        <v>19</v>
      </c>
      <c r="M27" s="234">
        <v>0</v>
      </c>
      <c r="N27" s="96" t="s">
        <v>19</v>
      </c>
      <c r="O27" s="45">
        <f>M27</f>
        <v>0</v>
      </c>
      <c r="P27" s="96" t="s">
        <v>19</v>
      </c>
      <c r="Q27" s="45">
        <f>O27</f>
        <v>0</v>
      </c>
    </row>
    <row r="28" spans="1:17" ht="13.5" customHeight="1" x14ac:dyDescent="0.25">
      <c r="A28" s="40" t="s">
        <v>125</v>
      </c>
      <c r="B28" s="93" t="s">
        <v>121</v>
      </c>
      <c r="C28" s="69">
        <v>503450</v>
      </c>
      <c r="E28" s="94" t="str">
        <f t="shared" si="0"/>
        <v>00109120503450</v>
      </c>
      <c r="G28" s="34">
        <f t="shared" si="5"/>
        <v>0</v>
      </c>
      <c r="I28" s="34">
        <f t="shared" si="6"/>
        <v>0</v>
      </c>
      <c r="K28" s="45">
        <v>0</v>
      </c>
      <c r="M28" s="234">
        <v>0</v>
      </c>
      <c r="O28" s="45">
        <f t="shared" ref="O28:O55" si="7">M28</f>
        <v>0</v>
      </c>
      <c r="Q28" s="45">
        <f t="shared" ref="Q28:Q55" si="8">O28</f>
        <v>0</v>
      </c>
    </row>
    <row r="29" spans="1:17" ht="13.5" customHeight="1" x14ac:dyDescent="0.25">
      <c r="A29" s="104" t="s">
        <v>126</v>
      </c>
      <c r="B29" s="93" t="s">
        <v>121</v>
      </c>
      <c r="C29" s="105">
        <v>503499</v>
      </c>
      <c r="E29" s="94" t="str">
        <f t="shared" si="0"/>
        <v>00109120503499</v>
      </c>
      <c r="F29" s="42" t="s">
        <v>19</v>
      </c>
      <c r="G29" s="34">
        <f t="shared" si="5"/>
        <v>0</v>
      </c>
      <c r="H29" s="42" t="s">
        <v>19</v>
      </c>
      <c r="I29" s="34">
        <f t="shared" si="6"/>
        <v>0</v>
      </c>
      <c r="J29" s="42" t="s">
        <v>19</v>
      </c>
      <c r="K29" s="45">
        <v>1600</v>
      </c>
      <c r="L29" s="42" t="s">
        <v>19</v>
      </c>
      <c r="M29" s="234">
        <v>1600</v>
      </c>
      <c r="N29" s="42" t="s">
        <v>19</v>
      </c>
      <c r="O29" s="45">
        <f>M29</f>
        <v>1600</v>
      </c>
      <c r="P29" s="42" t="s">
        <v>19</v>
      </c>
      <c r="Q29" s="45">
        <f>O29</f>
        <v>1600</v>
      </c>
    </row>
    <row r="30" spans="1:17" ht="13.5" customHeight="1" x14ac:dyDescent="0.25">
      <c r="A30" s="40" t="s">
        <v>127</v>
      </c>
      <c r="B30" s="93" t="s">
        <v>121</v>
      </c>
      <c r="C30" s="69">
        <v>504430</v>
      </c>
      <c r="E30" s="94" t="str">
        <f t="shared" si="0"/>
        <v>00109120504430</v>
      </c>
      <c r="G30" s="34">
        <f t="shared" si="5"/>
        <v>0</v>
      </c>
      <c r="I30" s="34">
        <f t="shared" si="6"/>
        <v>0</v>
      </c>
      <c r="K30" s="45">
        <v>0</v>
      </c>
      <c r="M30" s="234">
        <v>0</v>
      </c>
      <c r="N30" s="106"/>
      <c r="O30" s="45">
        <f t="shared" si="7"/>
        <v>0</v>
      </c>
      <c r="P30" s="96"/>
      <c r="Q30" s="45">
        <f t="shared" si="8"/>
        <v>0</v>
      </c>
    </row>
    <row r="31" spans="1:17" ht="13.5" customHeight="1" x14ac:dyDescent="0.25">
      <c r="A31" s="40" t="s">
        <v>128</v>
      </c>
      <c r="B31" s="93" t="s">
        <v>121</v>
      </c>
      <c r="C31" s="69">
        <v>504601</v>
      </c>
      <c r="D31" s="69"/>
      <c r="E31" s="94" t="str">
        <f t="shared" si="0"/>
        <v>00109120504601</v>
      </c>
      <c r="G31" s="34">
        <f t="shared" si="5"/>
        <v>0</v>
      </c>
      <c r="H31" s="43"/>
      <c r="I31" s="34">
        <f t="shared" si="6"/>
        <v>2997</v>
      </c>
      <c r="J31" s="43"/>
      <c r="K31" s="45">
        <v>0</v>
      </c>
      <c r="L31" s="43"/>
      <c r="M31" s="234">
        <v>0</v>
      </c>
      <c r="N31" s="44"/>
      <c r="O31" s="45">
        <f t="shared" si="7"/>
        <v>0</v>
      </c>
      <c r="Q31" s="45">
        <f t="shared" si="8"/>
        <v>0</v>
      </c>
    </row>
    <row r="32" spans="1:17" ht="13.5" customHeight="1" x14ac:dyDescent="0.25">
      <c r="A32" s="60" t="s">
        <v>129</v>
      </c>
      <c r="B32" s="93" t="s">
        <v>121</v>
      </c>
      <c r="C32" s="69"/>
      <c r="D32" s="69"/>
      <c r="E32" s="94" t="str">
        <f t="shared" si="0"/>
        <v>00109120</v>
      </c>
      <c r="G32" s="34">
        <f t="shared" si="5"/>
        <v>0</v>
      </c>
      <c r="H32" s="43"/>
      <c r="I32" s="34">
        <f t="shared" si="6"/>
        <v>0</v>
      </c>
      <c r="J32" s="43"/>
      <c r="K32" s="45">
        <v>3000</v>
      </c>
      <c r="L32" s="43"/>
      <c r="M32" s="234">
        <v>3000</v>
      </c>
      <c r="N32" s="44"/>
      <c r="O32" s="45">
        <f t="shared" si="7"/>
        <v>3000</v>
      </c>
      <c r="Q32" s="45">
        <f t="shared" si="8"/>
        <v>3000</v>
      </c>
    </row>
    <row r="33" spans="1:17" ht="13.5" customHeight="1" x14ac:dyDescent="0.25">
      <c r="A33" s="40" t="s">
        <v>130</v>
      </c>
      <c r="B33" s="93" t="s">
        <v>121</v>
      </c>
      <c r="C33" s="69">
        <v>504602</v>
      </c>
      <c r="D33" s="69"/>
      <c r="E33" s="94" t="str">
        <f t="shared" si="0"/>
        <v>00109120504602</v>
      </c>
      <c r="G33" s="34">
        <f t="shared" si="5"/>
        <v>720</v>
      </c>
      <c r="H33" s="43"/>
      <c r="I33" s="34">
        <f t="shared" si="6"/>
        <v>360</v>
      </c>
      <c r="J33" s="43"/>
      <c r="K33" s="45">
        <v>5000</v>
      </c>
      <c r="L33" s="43"/>
      <c r="M33" s="234">
        <v>5000</v>
      </c>
      <c r="N33" s="44"/>
      <c r="O33" s="45">
        <f t="shared" si="7"/>
        <v>5000</v>
      </c>
      <c r="Q33" s="45">
        <f t="shared" si="8"/>
        <v>5000</v>
      </c>
    </row>
    <row r="34" spans="1:17" ht="13.5" customHeight="1" x14ac:dyDescent="0.25">
      <c r="A34" s="40" t="s">
        <v>131</v>
      </c>
      <c r="B34" s="93" t="s">
        <v>121</v>
      </c>
      <c r="C34" s="69">
        <v>504605</v>
      </c>
      <c r="D34" s="69"/>
      <c r="E34" s="94" t="str">
        <f t="shared" si="0"/>
        <v>00109120504605</v>
      </c>
      <c r="G34" s="34">
        <f t="shared" si="5"/>
        <v>0</v>
      </c>
      <c r="H34" s="43"/>
      <c r="I34" s="34">
        <f t="shared" si="6"/>
        <v>79</v>
      </c>
      <c r="J34" s="43"/>
      <c r="K34" s="45">
        <v>0</v>
      </c>
      <c r="L34" s="43"/>
      <c r="M34" s="234">
        <v>0</v>
      </c>
      <c r="N34" s="44"/>
      <c r="O34" s="45">
        <f t="shared" si="7"/>
        <v>0</v>
      </c>
      <c r="Q34" s="45">
        <f t="shared" si="8"/>
        <v>0</v>
      </c>
    </row>
    <row r="35" spans="1:17" ht="13.5" customHeight="1" x14ac:dyDescent="0.25">
      <c r="A35" s="40" t="s">
        <v>132</v>
      </c>
      <c r="B35" s="93" t="s">
        <v>121</v>
      </c>
      <c r="C35" s="69">
        <v>504610</v>
      </c>
      <c r="D35" s="69"/>
      <c r="E35" s="94" t="str">
        <f t="shared" si="0"/>
        <v>00109120504610</v>
      </c>
      <c r="G35" s="34">
        <f t="shared" si="5"/>
        <v>9860</v>
      </c>
      <c r="H35" s="43"/>
      <c r="I35" s="34">
        <f t="shared" si="6"/>
        <v>6525</v>
      </c>
      <c r="J35" s="43"/>
      <c r="K35" s="45">
        <v>0</v>
      </c>
      <c r="L35" s="43"/>
      <c r="M35" s="234">
        <v>0</v>
      </c>
      <c r="N35" s="44"/>
      <c r="O35" s="45">
        <f>M35</f>
        <v>0</v>
      </c>
      <c r="Q35" s="45">
        <f>O35</f>
        <v>0</v>
      </c>
    </row>
    <row r="36" spans="1:17" ht="13.5" customHeight="1" x14ac:dyDescent="0.25">
      <c r="A36" s="60" t="s">
        <v>133</v>
      </c>
      <c r="B36" s="93" t="s">
        <v>121</v>
      </c>
      <c r="C36" s="69"/>
      <c r="D36" s="69"/>
      <c r="E36" s="94" t="str">
        <f t="shared" si="0"/>
        <v>00109120</v>
      </c>
      <c r="G36" s="34">
        <f t="shared" si="5"/>
        <v>0</v>
      </c>
      <c r="H36" s="43"/>
      <c r="I36" s="34">
        <f t="shared" si="6"/>
        <v>0</v>
      </c>
      <c r="J36" s="43"/>
      <c r="K36" s="45">
        <v>5500</v>
      </c>
      <c r="L36" s="43"/>
      <c r="M36" s="234">
        <v>5500</v>
      </c>
      <c r="N36" s="44"/>
      <c r="O36" s="45">
        <f t="shared" si="7"/>
        <v>5500</v>
      </c>
      <c r="Q36" s="45">
        <f t="shared" si="8"/>
        <v>5500</v>
      </c>
    </row>
    <row r="37" spans="1:17" ht="13.5" customHeight="1" x14ac:dyDescent="0.25">
      <c r="A37" s="60" t="s">
        <v>134</v>
      </c>
      <c r="B37" s="93" t="s">
        <v>121</v>
      </c>
      <c r="C37" s="69"/>
      <c r="D37" s="69"/>
      <c r="E37" s="94" t="str">
        <f t="shared" si="0"/>
        <v>00109120</v>
      </c>
      <c r="G37" s="34">
        <f t="shared" si="5"/>
        <v>0</v>
      </c>
      <c r="H37" s="43"/>
      <c r="I37" s="34">
        <f t="shared" si="6"/>
        <v>0</v>
      </c>
      <c r="J37" s="43"/>
      <c r="K37" s="45">
        <v>3000</v>
      </c>
      <c r="L37" s="43"/>
      <c r="M37" s="234">
        <v>3000</v>
      </c>
      <c r="N37" s="44"/>
      <c r="O37" s="45">
        <f t="shared" si="7"/>
        <v>3000</v>
      </c>
      <c r="Q37" s="45">
        <f t="shared" si="8"/>
        <v>3000</v>
      </c>
    </row>
    <row r="38" spans="1:17" ht="13.5" customHeight="1" x14ac:dyDescent="0.25">
      <c r="A38" s="40" t="s">
        <v>135</v>
      </c>
      <c r="B38" s="93" t="s">
        <v>121</v>
      </c>
      <c r="C38" s="42">
        <v>504620</v>
      </c>
      <c r="D38" s="42"/>
      <c r="E38" s="94" t="str">
        <f t="shared" si="0"/>
        <v>00109120504620</v>
      </c>
      <c r="G38" s="34">
        <f t="shared" si="5"/>
        <v>5621</v>
      </c>
      <c r="H38" s="43"/>
      <c r="I38" s="34">
        <f t="shared" si="6"/>
        <v>5322</v>
      </c>
      <c r="J38" s="43"/>
      <c r="K38" s="45">
        <v>0</v>
      </c>
      <c r="L38" s="43"/>
      <c r="M38" s="234">
        <v>0</v>
      </c>
      <c r="N38" s="44"/>
      <c r="O38" s="45">
        <f t="shared" si="7"/>
        <v>0</v>
      </c>
      <c r="Q38" s="45">
        <f t="shared" si="8"/>
        <v>0</v>
      </c>
    </row>
    <row r="39" spans="1:17" ht="13.5" customHeight="1" x14ac:dyDescent="0.25">
      <c r="A39" s="60" t="s">
        <v>136</v>
      </c>
      <c r="B39" s="93" t="s">
        <v>121</v>
      </c>
      <c r="C39" s="69"/>
      <c r="D39" s="69"/>
      <c r="E39" s="94" t="str">
        <f t="shared" si="0"/>
        <v>00109120</v>
      </c>
      <c r="G39" s="34">
        <f t="shared" si="5"/>
        <v>0</v>
      </c>
      <c r="H39" s="43"/>
      <c r="I39" s="34">
        <f t="shared" si="6"/>
        <v>0</v>
      </c>
      <c r="J39" s="43"/>
      <c r="K39" s="45">
        <v>5000</v>
      </c>
      <c r="L39" s="43"/>
      <c r="M39" s="234">
        <v>5000</v>
      </c>
      <c r="N39" s="44"/>
      <c r="O39" s="45">
        <f t="shared" si="7"/>
        <v>5000</v>
      </c>
      <c r="Q39" s="45">
        <f t="shared" si="8"/>
        <v>5000</v>
      </c>
    </row>
    <row r="40" spans="1:17" ht="13.5" customHeight="1" x14ac:dyDescent="0.25">
      <c r="A40" s="60" t="s">
        <v>137</v>
      </c>
      <c r="B40" s="93" t="s">
        <v>121</v>
      </c>
      <c r="C40" s="69"/>
      <c r="D40" s="69"/>
      <c r="E40" s="94" t="str">
        <f t="shared" si="0"/>
        <v>00109120</v>
      </c>
      <c r="G40" s="34">
        <f t="shared" si="5"/>
        <v>0</v>
      </c>
      <c r="H40" s="43"/>
      <c r="I40" s="34">
        <f t="shared" si="6"/>
        <v>0</v>
      </c>
      <c r="J40" s="43"/>
      <c r="K40" s="45">
        <v>5000</v>
      </c>
      <c r="L40" s="43"/>
      <c r="M40" s="234">
        <v>5000</v>
      </c>
      <c r="N40" s="44"/>
      <c r="O40" s="45">
        <f t="shared" si="7"/>
        <v>5000</v>
      </c>
      <c r="Q40" s="45">
        <f t="shared" si="8"/>
        <v>5000</v>
      </c>
    </row>
    <row r="41" spans="1:17" ht="13.5" customHeight="1" x14ac:dyDescent="0.25">
      <c r="A41" s="60" t="s">
        <v>138</v>
      </c>
      <c r="B41" s="93" t="s">
        <v>121</v>
      </c>
      <c r="C41" s="69"/>
      <c r="D41" s="69"/>
      <c r="E41" s="94" t="str">
        <f t="shared" si="0"/>
        <v>00109120</v>
      </c>
      <c r="G41" s="34">
        <f t="shared" si="5"/>
        <v>0</v>
      </c>
      <c r="H41" s="43"/>
      <c r="I41" s="34">
        <f t="shared" si="6"/>
        <v>0</v>
      </c>
      <c r="J41" s="43"/>
      <c r="K41" s="45">
        <v>5000</v>
      </c>
      <c r="L41" s="43"/>
      <c r="M41" s="234">
        <v>5000</v>
      </c>
      <c r="N41" s="44"/>
      <c r="O41" s="45">
        <f t="shared" si="7"/>
        <v>5000</v>
      </c>
      <c r="Q41" s="45">
        <f t="shared" si="8"/>
        <v>5000</v>
      </c>
    </row>
    <row r="42" spans="1:17" ht="13.5" customHeight="1" x14ac:dyDescent="0.25">
      <c r="A42" s="40" t="s">
        <v>139</v>
      </c>
      <c r="B42" s="93" t="s">
        <v>121</v>
      </c>
      <c r="C42" s="69">
        <v>504675</v>
      </c>
      <c r="D42" s="69"/>
      <c r="E42" s="94" t="str">
        <f t="shared" si="0"/>
        <v>00109120504675</v>
      </c>
      <c r="G42" s="34">
        <f t="shared" si="5"/>
        <v>0</v>
      </c>
      <c r="H42" s="43"/>
      <c r="I42" s="34">
        <f t="shared" si="6"/>
        <v>0</v>
      </c>
      <c r="J42" s="43"/>
      <c r="K42" s="45">
        <v>6000</v>
      </c>
      <c r="L42" s="43"/>
      <c r="M42" s="234">
        <v>6000</v>
      </c>
      <c r="N42" s="44"/>
      <c r="O42" s="45">
        <f t="shared" si="7"/>
        <v>6000</v>
      </c>
      <c r="Q42" s="45">
        <f t="shared" si="8"/>
        <v>6000</v>
      </c>
    </row>
    <row r="43" spans="1:17" ht="13.5" customHeight="1" x14ac:dyDescent="0.25">
      <c r="A43" s="40" t="s">
        <v>140</v>
      </c>
      <c r="B43" s="93" t="s">
        <v>121</v>
      </c>
      <c r="C43" s="69">
        <v>504683</v>
      </c>
      <c r="D43" s="69"/>
      <c r="E43" s="94" t="str">
        <f t="shared" si="0"/>
        <v>00109120504683</v>
      </c>
      <c r="G43" s="34">
        <f t="shared" si="5"/>
        <v>2220</v>
      </c>
      <c r="H43" s="43"/>
      <c r="I43" s="34">
        <f t="shared" si="6"/>
        <v>8763</v>
      </c>
      <c r="J43" s="43"/>
      <c r="K43" s="45">
        <v>0</v>
      </c>
      <c r="L43" s="43"/>
      <c r="M43" s="234">
        <v>0</v>
      </c>
      <c r="N43" s="44"/>
      <c r="O43" s="45">
        <f t="shared" si="7"/>
        <v>0</v>
      </c>
      <c r="Q43" s="45">
        <f t="shared" si="8"/>
        <v>0</v>
      </c>
    </row>
    <row r="44" spans="1:17" ht="13.5" customHeight="1" x14ac:dyDescent="0.25">
      <c r="A44" s="60" t="s">
        <v>141</v>
      </c>
      <c r="B44" s="93" t="s">
        <v>121</v>
      </c>
      <c r="C44" s="69"/>
      <c r="D44" s="69"/>
      <c r="E44" s="94" t="str">
        <f t="shared" si="0"/>
        <v>00109120</v>
      </c>
      <c r="G44" s="34">
        <f t="shared" si="5"/>
        <v>0</v>
      </c>
      <c r="H44" s="43"/>
      <c r="I44" s="34">
        <f t="shared" si="6"/>
        <v>0</v>
      </c>
      <c r="J44" s="43"/>
      <c r="K44" s="45">
        <v>3000</v>
      </c>
      <c r="L44" s="43"/>
      <c r="M44" s="234">
        <v>3000</v>
      </c>
      <c r="N44" s="44"/>
      <c r="O44" s="45">
        <f t="shared" si="7"/>
        <v>3000</v>
      </c>
      <c r="Q44" s="45">
        <f t="shared" si="8"/>
        <v>3000</v>
      </c>
    </row>
    <row r="45" spans="1:17" ht="13.5" customHeight="1" x14ac:dyDescent="0.25">
      <c r="A45" s="40" t="s">
        <v>142</v>
      </c>
      <c r="B45" s="93" t="s">
        <v>121</v>
      </c>
      <c r="C45" s="69">
        <v>504699</v>
      </c>
      <c r="D45" s="69"/>
      <c r="E45" s="94" t="str">
        <f t="shared" si="0"/>
        <v>00109120504699</v>
      </c>
      <c r="G45" s="34">
        <f t="shared" si="5"/>
        <v>6540</v>
      </c>
      <c r="H45" s="43"/>
      <c r="I45" s="34">
        <f t="shared" si="6"/>
        <v>3668</v>
      </c>
      <c r="J45" s="43"/>
      <c r="K45" s="45">
        <v>4000</v>
      </c>
      <c r="L45" s="43"/>
      <c r="M45" s="234">
        <v>4000</v>
      </c>
      <c r="N45" s="44"/>
      <c r="O45" s="45">
        <f t="shared" si="7"/>
        <v>4000</v>
      </c>
      <c r="Q45" s="45">
        <f t="shared" si="8"/>
        <v>4000</v>
      </c>
    </row>
    <row r="46" spans="1:17" ht="13.5" customHeight="1" x14ac:dyDescent="0.25">
      <c r="A46" s="40" t="s">
        <v>69</v>
      </c>
      <c r="B46" s="93" t="s">
        <v>121</v>
      </c>
      <c r="C46" s="69">
        <v>505201</v>
      </c>
      <c r="D46" s="69"/>
      <c r="E46" s="94" t="str">
        <f t="shared" si="0"/>
        <v>00109120505201</v>
      </c>
      <c r="G46" s="34">
        <f t="shared" si="5"/>
        <v>1875</v>
      </c>
      <c r="H46" s="43"/>
      <c r="I46" s="34">
        <f t="shared" si="6"/>
        <v>313</v>
      </c>
      <c r="J46" s="43"/>
      <c r="K46" s="45">
        <v>0</v>
      </c>
      <c r="L46" s="43"/>
      <c r="M46" s="234">
        <v>0</v>
      </c>
      <c r="N46" s="44"/>
      <c r="O46" s="45">
        <f t="shared" si="7"/>
        <v>0</v>
      </c>
      <c r="Q46" s="45">
        <f t="shared" si="8"/>
        <v>0</v>
      </c>
    </row>
    <row r="47" spans="1:17" ht="13.5" customHeight="1" x14ac:dyDescent="0.25">
      <c r="A47" s="40" t="s">
        <v>143</v>
      </c>
      <c r="B47" s="93" t="s">
        <v>121</v>
      </c>
      <c r="C47" s="42">
        <v>505505</v>
      </c>
      <c r="D47" s="42"/>
      <c r="E47" s="94" t="str">
        <f t="shared" si="0"/>
        <v>00109120505505</v>
      </c>
      <c r="G47" s="34">
        <f t="shared" si="5"/>
        <v>0</v>
      </c>
      <c r="H47" s="43"/>
      <c r="I47" s="34">
        <f t="shared" si="6"/>
        <v>0</v>
      </c>
      <c r="J47" s="43"/>
      <c r="K47" s="45">
        <v>0</v>
      </c>
      <c r="L47" s="43"/>
      <c r="M47" s="234">
        <v>0</v>
      </c>
      <c r="N47" s="44"/>
      <c r="O47" s="45">
        <f t="shared" si="7"/>
        <v>0</v>
      </c>
      <c r="Q47" s="45">
        <f t="shared" si="8"/>
        <v>0</v>
      </c>
    </row>
    <row r="48" spans="1:17" ht="13.5" customHeight="1" x14ac:dyDescent="0.25">
      <c r="A48" s="40" t="s">
        <v>144</v>
      </c>
      <c r="B48" s="93" t="s">
        <v>121</v>
      </c>
      <c r="C48" s="42">
        <v>505532</v>
      </c>
      <c r="D48" s="42"/>
      <c r="E48" s="94" t="str">
        <f t="shared" si="0"/>
        <v>00109120505532</v>
      </c>
      <c r="G48" s="34">
        <f t="shared" si="5"/>
        <v>0</v>
      </c>
      <c r="H48" s="43"/>
      <c r="I48" s="34">
        <f t="shared" si="6"/>
        <v>0</v>
      </c>
      <c r="J48" s="43"/>
      <c r="K48" s="45">
        <v>0</v>
      </c>
      <c r="L48" s="43"/>
      <c r="M48" s="234">
        <v>0</v>
      </c>
      <c r="N48" s="44"/>
      <c r="O48" s="45">
        <f t="shared" si="7"/>
        <v>0</v>
      </c>
      <c r="Q48" s="45">
        <f t="shared" si="8"/>
        <v>0</v>
      </c>
    </row>
    <row r="49" spans="1:17" ht="13.5" customHeight="1" x14ac:dyDescent="0.25">
      <c r="A49" s="40" t="s">
        <v>145</v>
      </c>
      <c r="B49" s="93" t="s">
        <v>121</v>
      </c>
      <c r="C49" s="42">
        <v>505540</v>
      </c>
      <c r="D49" s="42"/>
      <c r="E49" s="94" t="str">
        <f t="shared" si="0"/>
        <v>00109120505540</v>
      </c>
      <c r="G49" s="34">
        <f t="shared" si="5"/>
        <v>0</v>
      </c>
      <c r="H49" s="43"/>
      <c r="I49" s="34">
        <f t="shared" si="6"/>
        <v>0</v>
      </c>
      <c r="J49" s="43"/>
      <c r="K49" s="45">
        <v>0</v>
      </c>
      <c r="L49" s="43"/>
      <c r="M49" s="234">
        <v>0</v>
      </c>
      <c r="N49" s="44"/>
      <c r="O49" s="45">
        <f t="shared" si="7"/>
        <v>0</v>
      </c>
      <c r="Q49" s="45">
        <f t="shared" si="8"/>
        <v>0</v>
      </c>
    </row>
    <row r="50" spans="1:17" ht="13.5" customHeight="1" x14ac:dyDescent="0.25">
      <c r="A50" s="40" t="s">
        <v>72</v>
      </c>
      <c r="B50" s="93" t="s">
        <v>121</v>
      </c>
      <c r="C50" s="42">
        <v>505550</v>
      </c>
      <c r="D50" s="42"/>
      <c r="E50" s="94" t="str">
        <f t="shared" si="0"/>
        <v>00109120505550</v>
      </c>
      <c r="G50" s="34">
        <f t="shared" si="5"/>
        <v>0</v>
      </c>
      <c r="H50" s="43"/>
      <c r="I50" s="34">
        <f t="shared" si="6"/>
        <v>0</v>
      </c>
      <c r="J50" s="43"/>
      <c r="K50" s="45">
        <v>0</v>
      </c>
      <c r="L50" s="43"/>
      <c r="M50" s="234">
        <v>0</v>
      </c>
      <c r="N50" s="44"/>
      <c r="O50" s="45">
        <f t="shared" si="7"/>
        <v>0</v>
      </c>
      <c r="Q50" s="45">
        <f t="shared" si="8"/>
        <v>0</v>
      </c>
    </row>
    <row r="51" spans="1:17" ht="13.5" customHeight="1" x14ac:dyDescent="0.25">
      <c r="A51" s="40" t="s">
        <v>146</v>
      </c>
      <c r="B51" s="93" t="s">
        <v>121</v>
      </c>
      <c r="C51" s="69">
        <v>505602</v>
      </c>
      <c r="D51" s="69"/>
      <c r="E51" s="94" t="str">
        <f t="shared" si="0"/>
        <v>00109120505602</v>
      </c>
      <c r="G51" s="34">
        <f t="shared" si="5"/>
        <v>0</v>
      </c>
      <c r="H51" s="43"/>
      <c r="I51" s="34">
        <f t="shared" si="6"/>
        <v>91</v>
      </c>
      <c r="J51" s="43"/>
      <c r="K51" s="45">
        <v>200</v>
      </c>
      <c r="L51" s="43"/>
      <c r="M51" s="234">
        <v>200</v>
      </c>
      <c r="N51" s="44"/>
      <c r="O51" s="45">
        <f t="shared" si="7"/>
        <v>200</v>
      </c>
      <c r="Q51" s="45">
        <f t="shared" si="8"/>
        <v>200</v>
      </c>
    </row>
    <row r="52" spans="1:17" ht="13.5" customHeight="1" x14ac:dyDescent="0.25">
      <c r="A52" s="40" t="s">
        <v>73</v>
      </c>
      <c r="B52" s="93" t="s">
        <v>121</v>
      </c>
      <c r="C52" s="69">
        <v>505710</v>
      </c>
      <c r="D52" s="69"/>
      <c r="E52" s="94" t="str">
        <f t="shared" si="0"/>
        <v>00109120505710</v>
      </c>
      <c r="G52" s="34">
        <f t="shared" si="5"/>
        <v>0</v>
      </c>
      <c r="H52" s="43"/>
      <c r="I52" s="34">
        <f t="shared" si="6"/>
        <v>3708</v>
      </c>
      <c r="J52" s="43"/>
      <c r="K52" s="45">
        <v>0</v>
      </c>
      <c r="L52" s="43"/>
      <c r="M52" s="234">
        <v>0</v>
      </c>
      <c r="N52" s="44"/>
      <c r="O52" s="45">
        <f t="shared" si="7"/>
        <v>0</v>
      </c>
      <c r="Q52" s="45">
        <f t="shared" si="8"/>
        <v>0</v>
      </c>
    </row>
    <row r="53" spans="1:17" ht="13.5" customHeight="1" x14ac:dyDescent="0.25">
      <c r="A53" s="40" t="s">
        <v>147</v>
      </c>
      <c r="B53" s="93" t="s">
        <v>121</v>
      </c>
      <c r="C53" s="69">
        <v>505750</v>
      </c>
      <c r="D53" s="69"/>
      <c r="E53" s="94" t="str">
        <f t="shared" si="0"/>
        <v>00109120505750</v>
      </c>
      <c r="G53" s="34">
        <f t="shared" si="5"/>
        <v>1939</v>
      </c>
      <c r="H53" s="43"/>
      <c r="I53" s="34">
        <f t="shared" si="6"/>
        <v>8252</v>
      </c>
      <c r="J53" s="43"/>
      <c r="K53" s="45">
        <v>1300</v>
      </c>
      <c r="L53" s="43"/>
      <c r="M53" s="234">
        <v>1300</v>
      </c>
      <c r="N53" s="44"/>
      <c r="O53" s="45">
        <f t="shared" si="7"/>
        <v>1300</v>
      </c>
      <c r="Q53" s="45">
        <f t="shared" si="8"/>
        <v>1300</v>
      </c>
    </row>
    <row r="54" spans="1:17" ht="13.5" customHeight="1" x14ac:dyDescent="0.25">
      <c r="A54" s="60" t="s">
        <v>148</v>
      </c>
      <c r="B54" s="93" t="s">
        <v>121</v>
      </c>
      <c r="C54" s="69"/>
      <c r="D54" s="69"/>
      <c r="E54" s="94" t="str">
        <f t="shared" si="0"/>
        <v>00109120</v>
      </c>
      <c r="G54" s="34">
        <f t="shared" si="5"/>
        <v>0</v>
      </c>
      <c r="H54" s="43"/>
      <c r="I54" s="34">
        <f t="shared" si="6"/>
        <v>0</v>
      </c>
      <c r="J54" s="43"/>
      <c r="K54" s="72">
        <v>6000</v>
      </c>
      <c r="L54" s="43"/>
      <c r="M54" s="237">
        <v>6000</v>
      </c>
      <c r="N54" s="44"/>
      <c r="O54" s="45">
        <f t="shared" si="7"/>
        <v>6000</v>
      </c>
      <c r="Q54" s="45">
        <f t="shared" si="8"/>
        <v>6000</v>
      </c>
    </row>
    <row r="55" spans="1:17" ht="13.5" customHeight="1" x14ac:dyDescent="0.25">
      <c r="A55" s="40" t="s">
        <v>74</v>
      </c>
      <c r="B55" s="93" t="s">
        <v>121</v>
      </c>
      <c r="C55" s="69">
        <v>505801</v>
      </c>
      <c r="D55" s="69"/>
      <c r="E55" s="94" t="str">
        <f t="shared" si="0"/>
        <v>00109120505801</v>
      </c>
      <c r="G55" s="34">
        <f t="shared" si="5"/>
        <v>1725</v>
      </c>
      <c r="H55" s="107"/>
      <c r="I55" s="34">
        <f>ROUND(IFERROR(VLOOKUP(_xlfn.CONCAT($B55,$C55,$D55),$A$66:$C$9993,2,FALSE),0),0)-2</f>
        <v>2840</v>
      </c>
      <c r="J55" s="107"/>
      <c r="K55" s="72">
        <v>0</v>
      </c>
      <c r="L55" s="107"/>
      <c r="M55" s="237">
        <v>0</v>
      </c>
      <c r="N55" s="108"/>
      <c r="O55" s="72">
        <f t="shared" si="7"/>
        <v>0</v>
      </c>
      <c r="Q55" s="45">
        <f t="shared" si="8"/>
        <v>0</v>
      </c>
    </row>
    <row r="56" spans="1:17" ht="13.5" customHeight="1" x14ac:dyDescent="0.25">
      <c r="A56" s="40"/>
      <c r="B56" s="70"/>
      <c r="C56" s="69"/>
      <c r="D56" s="69"/>
      <c r="E56" s="94"/>
      <c r="G56" s="72"/>
      <c r="H56" s="107"/>
      <c r="I56" s="72"/>
      <c r="J56" s="107"/>
      <c r="K56" s="72"/>
      <c r="L56" s="107"/>
      <c r="M56" s="72"/>
      <c r="N56" s="108"/>
      <c r="O56" s="72"/>
      <c r="Q56" s="45"/>
    </row>
    <row r="57" spans="1:17" ht="23.1" customHeight="1" x14ac:dyDescent="0.25">
      <c r="A57" s="49" t="s">
        <v>75</v>
      </c>
      <c r="B57" s="50"/>
      <c r="F57" s="95" t="s">
        <v>19</v>
      </c>
      <c r="G57" s="98">
        <f>SUM(G27:G56)</f>
        <v>30500</v>
      </c>
      <c r="H57" s="107" t="s">
        <v>19</v>
      </c>
      <c r="I57" s="98">
        <f>SUM(I27:I56)</f>
        <v>42918</v>
      </c>
      <c r="J57" s="107" t="s">
        <v>19</v>
      </c>
      <c r="K57" s="98">
        <f>SUM(K27:K56)</f>
        <v>53600</v>
      </c>
      <c r="L57" s="107" t="s">
        <v>19</v>
      </c>
      <c r="M57" s="98">
        <f>SUM(M27:M56)</f>
        <v>53600</v>
      </c>
      <c r="N57" s="108" t="s">
        <v>19</v>
      </c>
      <c r="O57" s="98">
        <f>SUM(O27:O56)</f>
        <v>53600</v>
      </c>
      <c r="P57" s="96" t="s">
        <v>19</v>
      </c>
      <c r="Q57" s="98">
        <f>SUM(Q27:Q56)</f>
        <v>53600</v>
      </c>
    </row>
    <row r="58" spans="1:17" ht="23.1" customHeight="1" thickBot="1" x14ac:dyDescent="0.3">
      <c r="A58" s="99" t="s">
        <v>76</v>
      </c>
      <c r="F58" s="95" t="s">
        <v>19</v>
      </c>
      <c r="G58" s="109">
        <f>+G21+G57</f>
        <v>50177</v>
      </c>
      <c r="H58" s="67" t="s">
        <v>19</v>
      </c>
      <c r="I58" s="109">
        <f>+I21+I57</f>
        <v>65445</v>
      </c>
      <c r="J58" s="67" t="s">
        <v>19</v>
      </c>
      <c r="K58" s="109">
        <f>+K21+K57</f>
        <v>80513</v>
      </c>
      <c r="L58" s="67" t="s">
        <v>19</v>
      </c>
      <c r="M58" s="109">
        <f>+M21+M57</f>
        <v>80513</v>
      </c>
      <c r="N58" s="96" t="s">
        <v>19</v>
      </c>
      <c r="O58" s="109">
        <f>+O21+O57</f>
        <v>80513</v>
      </c>
      <c r="P58" s="96" t="s">
        <v>19</v>
      </c>
      <c r="Q58" s="109">
        <f>+Q21+Q57</f>
        <v>80513</v>
      </c>
    </row>
    <row r="59" spans="1:17" ht="23.1" customHeight="1" thickTop="1" x14ac:dyDescent="0.25">
      <c r="A59" s="99"/>
      <c r="F59" s="95"/>
      <c r="G59" s="72"/>
      <c r="H59" s="67"/>
      <c r="I59" s="72"/>
      <c r="J59" s="67"/>
      <c r="K59" s="72"/>
      <c r="L59" s="67"/>
      <c r="M59" s="72"/>
      <c r="N59" s="96"/>
      <c r="O59" s="72"/>
      <c r="P59" s="96"/>
      <c r="Q59" s="72"/>
    </row>
    <row r="60" spans="1:17" hidden="1" x14ac:dyDescent="0.25">
      <c r="A60" s="16"/>
      <c r="B60" s="17"/>
      <c r="C60" s="16"/>
      <c r="D60" s="16"/>
      <c r="E60" s="5"/>
      <c r="F60" s="6"/>
      <c r="G60" s="36"/>
      <c r="H60" s="6"/>
      <c r="I60" s="36"/>
      <c r="J60" s="6"/>
      <c r="K60" s="36"/>
      <c r="L60" s="6"/>
      <c r="M60" s="36"/>
      <c r="N60" s="53"/>
      <c r="O60" s="36"/>
      <c r="Q60" s="36"/>
    </row>
    <row r="61" spans="1:17" hidden="1" x14ac:dyDescent="0.25">
      <c r="A61" s="28" t="s">
        <v>77</v>
      </c>
      <c r="G61" s="76">
        <v>50177</v>
      </c>
      <c r="I61" s="76">
        <v>65445</v>
      </c>
      <c r="O61" s="15"/>
    </row>
    <row r="62" spans="1:17" hidden="1" x14ac:dyDescent="0.25">
      <c r="A62" s="28" t="s">
        <v>78</v>
      </c>
      <c r="G62" s="44">
        <f>G58-G61</f>
        <v>0</v>
      </c>
      <c r="H62" s="43"/>
      <c r="I62" s="44">
        <f>I58-I61</f>
        <v>0</v>
      </c>
      <c r="O62" s="15"/>
    </row>
    <row r="63" spans="1:17" hidden="1" x14ac:dyDescent="0.25">
      <c r="I63" s="15"/>
      <c r="O63" s="15"/>
    </row>
    <row r="64" spans="1:17" hidden="1" x14ac:dyDescent="0.25">
      <c r="G64" s="44"/>
      <c r="K64" s="44"/>
      <c r="M64" s="44"/>
      <c r="O64" s="44"/>
      <c r="Q64" s="44"/>
    </row>
    <row r="65" spans="1:17" hidden="1" x14ac:dyDescent="0.25">
      <c r="A65" s="16"/>
      <c r="B65" s="17" t="s">
        <v>79</v>
      </c>
      <c r="C65" s="16" t="s">
        <v>80</v>
      </c>
      <c r="D65" s="16"/>
      <c r="E65" s="5"/>
      <c r="G65" s="77" t="s">
        <v>81</v>
      </c>
      <c r="I65" s="86"/>
      <c r="K65" s="86"/>
      <c r="M65" s="86"/>
      <c r="Q65" s="86"/>
    </row>
    <row r="66" spans="1:17" hidden="1" x14ac:dyDescent="0.25">
      <c r="A66" s="15" t="s">
        <v>149</v>
      </c>
      <c r="B66" s="29">
        <v>427.5</v>
      </c>
      <c r="C66" s="15">
        <v>0</v>
      </c>
      <c r="G66" s="15" t="str">
        <f>VLOOKUP(A66,E:E,1,FALSE)</f>
        <v>00109120501201</v>
      </c>
      <c r="I66" s="86"/>
      <c r="K66" s="86"/>
      <c r="M66" s="86"/>
      <c r="Q66" s="86"/>
    </row>
    <row r="67" spans="1:17" hidden="1" x14ac:dyDescent="0.25">
      <c r="A67" s="15" t="s">
        <v>150</v>
      </c>
      <c r="B67" s="29">
        <v>20222.580000000002</v>
      </c>
      <c r="C67" s="15">
        <v>18236.080000000002</v>
      </c>
      <c r="G67" s="15" t="str">
        <f t="shared" ref="G67:G102" si="9">VLOOKUP(A67,E:E,1,FALSE)</f>
        <v>00109120501305</v>
      </c>
      <c r="I67" s="86"/>
      <c r="K67" s="86"/>
      <c r="M67" s="86"/>
      <c r="Q67" s="86"/>
    </row>
    <row r="68" spans="1:17" hidden="1" x14ac:dyDescent="0.25">
      <c r="A68" s="15" t="s">
        <v>151</v>
      </c>
      <c r="B68" s="29">
        <v>274.61</v>
      </c>
      <c r="C68" s="15">
        <v>43</v>
      </c>
      <c r="G68" s="15" t="str">
        <f t="shared" si="9"/>
        <v>00109120501400</v>
      </c>
      <c r="I68" s="86"/>
      <c r="K68" s="86"/>
      <c r="M68" s="86"/>
      <c r="Q68" s="86"/>
    </row>
    <row r="69" spans="1:17" hidden="1" x14ac:dyDescent="0.25">
      <c r="A69" s="15" t="s">
        <v>152</v>
      </c>
      <c r="B69" s="29">
        <v>0</v>
      </c>
      <c r="C69" s="15">
        <v>0</v>
      </c>
      <c r="G69" s="15" t="str">
        <f t="shared" si="9"/>
        <v>00109120501600</v>
      </c>
      <c r="I69" s="86"/>
      <c r="K69" s="86"/>
      <c r="M69" s="86"/>
      <c r="Q69" s="86"/>
    </row>
    <row r="70" spans="1:17" hidden="1" x14ac:dyDescent="0.25">
      <c r="A70" s="15" t="s">
        <v>153</v>
      </c>
      <c r="B70" s="29">
        <v>0</v>
      </c>
      <c r="C70" s="15">
        <v>0</v>
      </c>
      <c r="G70" s="15" t="str">
        <f t="shared" si="9"/>
        <v>00109120501800</v>
      </c>
      <c r="I70" s="15"/>
      <c r="K70" s="86"/>
      <c r="M70" s="86"/>
      <c r="Q70" s="86"/>
    </row>
    <row r="71" spans="1:17" hidden="1" x14ac:dyDescent="0.25">
      <c r="A71" s="15" t="s">
        <v>154</v>
      </c>
      <c r="B71" s="29">
        <v>1600.8</v>
      </c>
      <c r="C71" s="15">
        <v>1398.38</v>
      </c>
      <c r="G71" s="15" t="str">
        <f t="shared" si="9"/>
        <v>00109120502100</v>
      </c>
      <c r="K71" s="86"/>
      <c r="M71" s="86"/>
      <c r="Q71" s="86"/>
    </row>
    <row r="72" spans="1:17" hidden="1" x14ac:dyDescent="0.25">
      <c r="A72" s="15" t="s">
        <v>155</v>
      </c>
      <c r="B72" s="29">
        <v>0</v>
      </c>
      <c r="C72" s="15">
        <v>0</v>
      </c>
      <c r="G72" s="15" t="str">
        <f t="shared" si="9"/>
        <v>00109120502200</v>
      </c>
      <c r="K72" s="86"/>
      <c r="M72" s="86"/>
      <c r="Q72" s="86"/>
    </row>
    <row r="73" spans="1:17" hidden="1" x14ac:dyDescent="0.25">
      <c r="A73" s="15" t="s">
        <v>156</v>
      </c>
      <c r="B73" s="29">
        <v>0</v>
      </c>
      <c r="C73" s="15">
        <v>0</v>
      </c>
      <c r="G73" s="15" t="str">
        <f t="shared" si="9"/>
        <v>00109120502300</v>
      </c>
      <c r="K73" s="86"/>
      <c r="M73" s="86"/>
      <c r="Q73" s="86"/>
    </row>
    <row r="74" spans="1:17" hidden="1" x14ac:dyDescent="0.25">
      <c r="A74" s="15" t="s">
        <v>157</v>
      </c>
      <c r="B74" s="29">
        <v>0</v>
      </c>
      <c r="C74" s="15">
        <v>0</v>
      </c>
      <c r="G74" s="15" t="str">
        <f t="shared" si="9"/>
        <v>00109120502400</v>
      </c>
      <c r="K74" s="86"/>
      <c r="M74" s="86"/>
      <c r="Q74" s="86"/>
    </row>
    <row r="75" spans="1:17" hidden="1" x14ac:dyDescent="0.25">
      <c r="A75" s="15" t="s">
        <v>158</v>
      </c>
      <c r="B75" s="29">
        <v>0</v>
      </c>
      <c r="C75" s="15">
        <v>0</v>
      </c>
      <c r="G75" s="15" t="str">
        <f t="shared" si="9"/>
        <v>00109120503415</v>
      </c>
      <c r="K75" s="86"/>
      <c r="M75" s="86"/>
      <c r="Q75" s="86"/>
    </row>
    <row r="76" spans="1:17" hidden="1" x14ac:dyDescent="0.25">
      <c r="A76" s="15" t="s">
        <v>159</v>
      </c>
      <c r="B76" s="29">
        <v>0</v>
      </c>
      <c r="C76" s="15">
        <v>0</v>
      </c>
      <c r="G76" s="15" t="str">
        <f t="shared" si="9"/>
        <v>00109120503450</v>
      </c>
      <c r="K76" s="86"/>
      <c r="M76" s="86"/>
      <c r="Q76" s="86"/>
    </row>
    <row r="77" spans="1:17" hidden="1" x14ac:dyDescent="0.25">
      <c r="A77" s="15" t="s">
        <v>160</v>
      </c>
      <c r="B77" s="29">
        <v>0</v>
      </c>
      <c r="C77" s="15">
        <v>0</v>
      </c>
      <c r="G77" s="15" t="str">
        <f t="shared" si="9"/>
        <v>00109120503499</v>
      </c>
      <c r="K77" s="86"/>
      <c r="M77" s="86"/>
      <c r="Q77" s="86"/>
    </row>
    <row r="78" spans="1:17" hidden="1" x14ac:dyDescent="0.25">
      <c r="A78" s="15" t="s">
        <v>161</v>
      </c>
      <c r="B78" s="29">
        <v>0</v>
      </c>
      <c r="C78" s="15">
        <v>0</v>
      </c>
      <c r="G78" s="15" t="str">
        <f t="shared" si="9"/>
        <v>00109120504430</v>
      </c>
      <c r="K78" s="86"/>
      <c r="M78" s="86"/>
      <c r="Q78" s="86"/>
    </row>
    <row r="79" spans="1:17" hidden="1" x14ac:dyDescent="0.25">
      <c r="A79" s="15" t="s">
        <v>162</v>
      </c>
      <c r="B79" s="29">
        <v>2996.77</v>
      </c>
      <c r="C79" s="15">
        <v>0</v>
      </c>
      <c r="G79" s="15" t="str">
        <f t="shared" si="9"/>
        <v>00109120504601</v>
      </c>
      <c r="K79" s="86"/>
      <c r="M79" s="86"/>
      <c r="Q79" s="86"/>
    </row>
    <row r="80" spans="1:17" hidden="1" x14ac:dyDescent="0.25">
      <c r="A80" s="15" t="s">
        <v>163</v>
      </c>
      <c r="B80" s="29">
        <v>360</v>
      </c>
      <c r="C80" s="15">
        <v>720</v>
      </c>
      <c r="G80" s="15" t="str">
        <f t="shared" si="9"/>
        <v>00109120504602</v>
      </c>
      <c r="K80" s="86"/>
      <c r="M80" s="86"/>
      <c r="Q80" s="86"/>
    </row>
    <row r="81" spans="1:17" hidden="1" x14ac:dyDescent="0.25">
      <c r="A81" s="15" t="s">
        <v>164</v>
      </c>
      <c r="B81" s="29">
        <v>78.8</v>
      </c>
      <c r="C81" s="15">
        <v>0</v>
      </c>
      <c r="G81" s="15" t="str">
        <f t="shared" si="9"/>
        <v>00109120504605</v>
      </c>
      <c r="M81" s="86"/>
      <c r="Q81" s="86"/>
    </row>
    <row r="82" spans="1:17" hidden="1" x14ac:dyDescent="0.25">
      <c r="A82" s="15" t="s">
        <v>165</v>
      </c>
      <c r="B82" s="29">
        <v>6525</v>
      </c>
      <c r="C82" s="15">
        <v>9859.98</v>
      </c>
      <c r="G82" s="15" t="str">
        <f t="shared" si="9"/>
        <v>00109120504610</v>
      </c>
      <c r="M82" s="86"/>
      <c r="Q82" s="86"/>
    </row>
    <row r="83" spans="1:17" hidden="1" x14ac:dyDescent="0.25">
      <c r="A83" s="15" t="s">
        <v>166</v>
      </c>
      <c r="B83" s="29">
        <v>5322.23</v>
      </c>
      <c r="C83" s="15">
        <v>5621.37</v>
      </c>
      <c r="G83" s="15" t="str">
        <f t="shared" si="9"/>
        <v>00109120504620</v>
      </c>
      <c r="M83" s="86"/>
      <c r="Q83" s="86"/>
    </row>
    <row r="84" spans="1:17" hidden="1" x14ac:dyDescent="0.25">
      <c r="A84" s="15" t="s">
        <v>167</v>
      </c>
      <c r="B84" s="29">
        <v>0</v>
      </c>
      <c r="C84" s="15">
        <v>0</v>
      </c>
      <c r="G84" s="15" t="str">
        <f t="shared" si="9"/>
        <v>00109120504675</v>
      </c>
      <c r="M84" s="86"/>
      <c r="Q84" s="86"/>
    </row>
    <row r="85" spans="1:17" hidden="1" x14ac:dyDescent="0.25">
      <c r="A85" s="15" t="s">
        <v>168</v>
      </c>
      <c r="B85" s="29">
        <v>8762.5</v>
      </c>
      <c r="C85" s="15">
        <v>2219.88</v>
      </c>
      <c r="G85" s="15" t="str">
        <f t="shared" si="9"/>
        <v>00109120504683</v>
      </c>
      <c r="M85" s="86"/>
      <c r="Q85" s="86"/>
    </row>
    <row r="86" spans="1:17" hidden="1" x14ac:dyDescent="0.25">
      <c r="A86" s="15" t="s">
        <v>169</v>
      </c>
      <c r="B86" s="29">
        <v>3667.65</v>
      </c>
      <c r="C86" s="15">
        <v>6540.22</v>
      </c>
      <c r="G86" s="15" t="str">
        <f t="shared" si="9"/>
        <v>00109120504699</v>
      </c>
      <c r="M86" s="86"/>
      <c r="Q86" s="86"/>
    </row>
    <row r="87" spans="1:17" hidden="1" x14ac:dyDescent="0.25">
      <c r="A87" s="15" t="s">
        <v>170</v>
      </c>
      <c r="B87" s="29">
        <v>0</v>
      </c>
      <c r="C87" s="15">
        <v>0</v>
      </c>
      <c r="G87" s="15" t="e">
        <f t="shared" si="9"/>
        <v>#N/A</v>
      </c>
      <c r="M87" s="86"/>
      <c r="Q87" s="86"/>
    </row>
    <row r="88" spans="1:17" hidden="1" x14ac:dyDescent="0.25">
      <c r="A88" s="15" t="s">
        <v>171</v>
      </c>
      <c r="B88" s="29">
        <v>0</v>
      </c>
      <c r="C88" s="15">
        <v>0</v>
      </c>
      <c r="G88" s="15" t="e">
        <f t="shared" si="9"/>
        <v>#N/A</v>
      </c>
      <c r="M88" s="86"/>
      <c r="Q88" s="86"/>
    </row>
    <row r="89" spans="1:17" hidden="1" x14ac:dyDescent="0.25">
      <c r="A89" s="15" t="s">
        <v>172</v>
      </c>
      <c r="B89" s="29">
        <v>0</v>
      </c>
      <c r="C89" s="15">
        <v>0</v>
      </c>
      <c r="G89" s="15" t="e">
        <f t="shared" si="9"/>
        <v>#N/A</v>
      </c>
      <c r="M89" s="86"/>
      <c r="Q89" s="86"/>
    </row>
    <row r="90" spans="1:17" hidden="1" x14ac:dyDescent="0.25">
      <c r="A90" s="15" t="s">
        <v>173</v>
      </c>
      <c r="B90" s="29">
        <v>313.36</v>
      </c>
      <c r="C90" s="15">
        <v>1875</v>
      </c>
      <c r="G90" s="15" t="str">
        <f t="shared" si="9"/>
        <v>00109120505201</v>
      </c>
      <c r="M90" s="86"/>
      <c r="Q90" s="86"/>
    </row>
    <row r="91" spans="1:17" hidden="1" x14ac:dyDescent="0.25">
      <c r="A91" s="15" t="s">
        <v>174</v>
      </c>
      <c r="B91" s="29">
        <v>0</v>
      </c>
      <c r="C91" s="15">
        <v>0</v>
      </c>
      <c r="G91" s="15" t="str">
        <f t="shared" si="9"/>
        <v>00109120505505</v>
      </c>
      <c r="M91" s="86"/>
      <c r="Q91" s="86"/>
    </row>
    <row r="92" spans="1:17" hidden="1" x14ac:dyDescent="0.25">
      <c r="A92" s="15" t="s">
        <v>175</v>
      </c>
      <c r="B92" s="29">
        <v>0</v>
      </c>
      <c r="C92" s="15">
        <v>0</v>
      </c>
      <c r="G92" s="15" t="str">
        <f t="shared" si="9"/>
        <v>00109120505532</v>
      </c>
      <c r="M92" s="86"/>
      <c r="Q92" s="86"/>
    </row>
    <row r="93" spans="1:17" hidden="1" x14ac:dyDescent="0.25">
      <c r="A93" s="15" t="s">
        <v>176</v>
      </c>
      <c r="B93" s="29">
        <v>0</v>
      </c>
      <c r="C93" s="15">
        <v>0</v>
      </c>
      <c r="G93" s="15" t="str">
        <f t="shared" si="9"/>
        <v>00109120505540</v>
      </c>
      <c r="M93" s="86"/>
      <c r="Q93" s="86"/>
    </row>
    <row r="94" spans="1:17" hidden="1" x14ac:dyDescent="0.25">
      <c r="A94" s="15" t="s">
        <v>177</v>
      </c>
      <c r="B94" s="29">
        <v>0</v>
      </c>
      <c r="C94" s="15">
        <v>0</v>
      </c>
      <c r="G94" s="15" t="str">
        <f t="shared" si="9"/>
        <v>00109120505550</v>
      </c>
      <c r="M94" s="86"/>
      <c r="Q94" s="86"/>
    </row>
    <row r="95" spans="1:17" hidden="1" x14ac:dyDescent="0.25">
      <c r="A95" s="15" t="s">
        <v>178</v>
      </c>
      <c r="B95" s="29">
        <v>90.88</v>
      </c>
      <c r="C95" s="15">
        <v>0</v>
      </c>
      <c r="G95" s="15" t="str">
        <f t="shared" si="9"/>
        <v>00109120505602</v>
      </c>
      <c r="M95" s="86"/>
      <c r="Q95" s="86"/>
    </row>
    <row r="96" spans="1:17" hidden="1" x14ac:dyDescent="0.25">
      <c r="A96" s="15" t="s">
        <v>179</v>
      </c>
      <c r="B96" s="29">
        <v>3708.47</v>
      </c>
      <c r="C96" s="15">
        <v>0</v>
      </c>
      <c r="G96" s="15" t="str">
        <f t="shared" si="9"/>
        <v>00109120505710</v>
      </c>
      <c r="M96" s="86"/>
      <c r="Q96" s="86"/>
    </row>
    <row r="97" spans="1:17" hidden="1" x14ac:dyDescent="0.25">
      <c r="A97" s="15" t="s">
        <v>180</v>
      </c>
      <c r="B97" s="29">
        <v>8251.9500000000007</v>
      </c>
      <c r="C97" s="15">
        <v>1938.55</v>
      </c>
      <c r="G97" s="15" t="str">
        <f t="shared" si="9"/>
        <v>00109120505750</v>
      </c>
      <c r="M97" s="86"/>
      <c r="Q97" s="86"/>
    </row>
    <row r="98" spans="1:17" hidden="1" x14ac:dyDescent="0.25">
      <c r="A98" s="15" t="s">
        <v>181</v>
      </c>
      <c r="B98" s="29">
        <v>2841.91</v>
      </c>
      <c r="C98" s="15">
        <v>1724.98</v>
      </c>
      <c r="G98" s="15" t="str">
        <f t="shared" si="9"/>
        <v>00109120505801</v>
      </c>
      <c r="M98" s="86"/>
      <c r="Q98" s="86"/>
    </row>
    <row r="99" spans="1:17" hidden="1" x14ac:dyDescent="0.25">
      <c r="A99" s="15" t="s">
        <v>182</v>
      </c>
      <c r="B99" s="29">
        <v>0</v>
      </c>
      <c r="C99" s="15">
        <v>0</v>
      </c>
      <c r="G99" s="15" t="e">
        <f t="shared" si="9"/>
        <v>#N/A</v>
      </c>
      <c r="M99" s="86"/>
      <c r="Q99" s="86"/>
    </row>
    <row r="100" spans="1:17" hidden="1" x14ac:dyDescent="0.25">
      <c r="A100" s="15" t="s">
        <v>183</v>
      </c>
      <c r="B100" s="29">
        <v>0</v>
      </c>
      <c r="C100" s="15">
        <v>0</v>
      </c>
      <c r="G100" s="15" t="e">
        <f t="shared" si="9"/>
        <v>#N/A</v>
      </c>
      <c r="M100" s="86"/>
      <c r="Q100" s="86"/>
    </row>
    <row r="101" spans="1:17" hidden="1" x14ac:dyDescent="0.25">
      <c r="A101" s="15" t="s">
        <v>184</v>
      </c>
      <c r="B101" s="29">
        <v>0</v>
      </c>
      <c r="C101" s="15">
        <v>0</v>
      </c>
      <c r="G101" s="15" t="e">
        <f t="shared" si="9"/>
        <v>#N/A</v>
      </c>
      <c r="M101" s="86"/>
      <c r="Q101" s="86"/>
    </row>
    <row r="102" spans="1:17" hidden="1" x14ac:dyDescent="0.25">
      <c r="A102" s="15" t="s">
        <v>185</v>
      </c>
      <c r="B102" s="29">
        <v>0</v>
      </c>
      <c r="C102" s="15">
        <v>0</v>
      </c>
      <c r="G102" s="15" t="e">
        <f t="shared" si="9"/>
        <v>#N/A</v>
      </c>
      <c r="M102" s="86"/>
      <c r="Q102" s="86"/>
    </row>
    <row r="103" spans="1:17" hidden="1" x14ac:dyDescent="0.25">
      <c r="M103" s="86"/>
      <c r="Q103" s="86"/>
    </row>
    <row r="104" spans="1:17" hidden="1" x14ac:dyDescent="0.25">
      <c r="M104" s="86"/>
      <c r="Q104" s="86"/>
    </row>
    <row r="105" spans="1:17" x14ac:dyDescent="0.25">
      <c r="M105" s="86"/>
      <c r="Q105" s="86"/>
    </row>
    <row r="106" spans="1:17" x14ac:dyDescent="0.25">
      <c r="M106" s="86"/>
      <c r="Q106" s="86"/>
    </row>
    <row r="107" spans="1:17" x14ac:dyDescent="0.25">
      <c r="M107" s="86"/>
      <c r="Q107" s="86"/>
    </row>
    <row r="108" spans="1:17" x14ac:dyDescent="0.25">
      <c r="M108" s="86"/>
      <c r="Q108" s="86"/>
    </row>
    <row r="109" spans="1:17" x14ac:dyDescent="0.25">
      <c r="M109" s="86"/>
      <c r="Q109" s="86"/>
    </row>
    <row r="110" spans="1:17" x14ac:dyDescent="0.25">
      <c r="M110" s="86"/>
      <c r="Q110" s="86"/>
    </row>
    <row r="111" spans="1:17" x14ac:dyDescent="0.25">
      <c r="M111" s="86"/>
      <c r="Q111" s="86"/>
    </row>
    <row r="112" spans="1:17" x14ac:dyDescent="0.25">
      <c r="M112" s="86"/>
      <c r="Q112" s="86"/>
    </row>
    <row r="113" spans="13:17" x14ac:dyDescent="0.25">
      <c r="M113" s="86"/>
      <c r="Q113" s="86"/>
    </row>
    <row r="114" spans="13:17" x14ac:dyDescent="0.25">
      <c r="M114" s="86"/>
      <c r="Q114" s="86"/>
    </row>
    <row r="115" spans="13:17" x14ac:dyDescent="0.25">
      <c r="M115" s="86"/>
      <c r="Q115" s="86"/>
    </row>
    <row r="116" spans="13:17" x14ac:dyDescent="0.25">
      <c r="M116" s="86"/>
      <c r="Q116" s="86"/>
    </row>
    <row r="117" spans="13:17" x14ac:dyDescent="0.25">
      <c r="M117" s="86"/>
      <c r="Q117" s="86"/>
    </row>
    <row r="118" spans="13:17" x14ac:dyDescent="0.25">
      <c r="M118" s="86"/>
      <c r="Q118" s="86"/>
    </row>
    <row r="119" spans="13:17" x14ac:dyDescent="0.25">
      <c r="M119" s="86"/>
      <c r="Q119" s="86"/>
    </row>
    <row r="120" spans="13:17" x14ac:dyDescent="0.25">
      <c r="M120" s="86"/>
      <c r="Q120" s="86"/>
    </row>
    <row r="121" spans="13:17" x14ac:dyDescent="0.25">
      <c r="M121" s="86"/>
      <c r="Q121" s="86"/>
    </row>
    <row r="122" spans="13:17" x14ac:dyDescent="0.25">
      <c r="M122" s="86"/>
      <c r="Q122" s="86"/>
    </row>
    <row r="123" spans="13:17" x14ac:dyDescent="0.25">
      <c r="M123" s="86"/>
      <c r="Q123" s="86"/>
    </row>
    <row r="124" spans="13:17" x14ac:dyDescent="0.25">
      <c r="M124" s="86"/>
      <c r="Q124" s="86"/>
    </row>
    <row r="125" spans="13:17" x14ac:dyDescent="0.25">
      <c r="M125" s="86"/>
      <c r="Q125" s="86"/>
    </row>
    <row r="126" spans="13:17" x14ac:dyDescent="0.25">
      <c r="M126" s="86"/>
      <c r="Q126" s="86"/>
    </row>
    <row r="127" spans="13:17" x14ac:dyDescent="0.25">
      <c r="M127" s="86"/>
      <c r="Q127" s="86"/>
    </row>
    <row r="128" spans="13:17" x14ac:dyDescent="0.25">
      <c r="M128" s="86"/>
      <c r="Q128" s="86"/>
    </row>
    <row r="129" spans="13:17" x14ac:dyDescent="0.25">
      <c r="M129" s="86"/>
      <c r="Q129" s="86"/>
    </row>
    <row r="130" spans="13:17" x14ac:dyDescent="0.25">
      <c r="M130" s="86"/>
      <c r="Q130" s="86"/>
    </row>
    <row r="131" spans="13:17" x14ac:dyDescent="0.25">
      <c r="M131" s="86"/>
      <c r="Q131" s="86"/>
    </row>
    <row r="132" spans="13:17" x14ac:dyDescent="0.25">
      <c r="M132" s="86"/>
      <c r="Q132" s="86"/>
    </row>
    <row r="133" spans="13:17" x14ac:dyDescent="0.25">
      <c r="M133" s="86"/>
      <c r="Q133" s="86"/>
    </row>
    <row r="134" spans="13:17" x14ac:dyDescent="0.25">
      <c r="M134" s="86"/>
      <c r="Q134" s="86"/>
    </row>
    <row r="135" spans="13:17" x14ac:dyDescent="0.25">
      <c r="M135" s="86"/>
      <c r="Q135" s="86"/>
    </row>
    <row r="136" spans="13:17" x14ac:dyDescent="0.25">
      <c r="M136" s="86"/>
      <c r="Q136" s="86"/>
    </row>
    <row r="137" spans="13:17" x14ac:dyDescent="0.25">
      <c r="M137" s="86"/>
      <c r="Q137" s="86"/>
    </row>
    <row r="138" spans="13:17" x14ac:dyDescent="0.25">
      <c r="M138" s="86"/>
      <c r="Q138" s="86"/>
    </row>
    <row r="139" spans="13:17" x14ac:dyDescent="0.25">
      <c r="M139" s="86"/>
      <c r="Q139" s="86"/>
    </row>
    <row r="140" spans="13:17" x14ac:dyDescent="0.25">
      <c r="M140" s="86"/>
      <c r="Q140" s="86"/>
    </row>
    <row r="141" spans="13:17" x14ac:dyDescent="0.25">
      <c r="M141" s="86"/>
      <c r="Q141" s="86"/>
    </row>
    <row r="142" spans="13:17" x14ac:dyDescent="0.25">
      <c r="M142" s="86"/>
      <c r="Q142" s="86"/>
    </row>
    <row r="143" spans="13:17" x14ac:dyDescent="0.25">
      <c r="M143" s="86"/>
      <c r="Q143" s="86"/>
    </row>
    <row r="144" spans="13:17" x14ac:dyDescent="0.25">
      <c r="M144" s="86"/>
      <c r="Q144" s="86"/>
    </row>
    <row r="145" spans="13:17" x14ac:dyDescent="0.25">
      <c r="M145" s="86"/>
      <c r="Q145" s="86"/>
    </row>
    <row r="146" spans="13:17" x14ac:dyDescent="0.25">
      <c r="M146" s="86"/>
      <c r="Q146" s="86"/>
    </row>
    <row r="147" spans="13:17" x14ac:dyDescent="0.25">
      <c r="M147" s="86"/>
      <c r="Q147" s="86"/>
    </row>
    <row r="148" spans="13:17" x14ac:dyDescent="0.25">
      <c r="M148" s="86"/>
      <c r="Q148" s="86"/>
    </row>
    <row r="149" spans="13:17" x14ac:dyDescent="0.25">
      <c r="M149" s="86"/>
      <c r="Q149" s="86"/>
    </row>
    <row r="150" spans="13:17" x14ac:dyDescent="0.25">
      <c r="M150" s="86"/>
      <c r="Q150" s="86"/>
    </row>
    <row r="151" spans="13:17" x14ac:dyDescent="0.25">
      <c r="M151" s="86"/>
      <c r="Q151" s="86"/>
    </row>
    <row r="152" spans="13:17" x14ac:dyDescent="0.25">
      <c r="M152" s="86"/>
      <c r="Q152" s="86"/>
    </row>
    <row r="153" spans="13:17" x14ac:dyDescent="0.25">
      <c r="M153" s="86"/>
      <c r="Q153" s="86"/>
    </row>
    <row r="154" spans="13:17" x14ac:dyDescent="0.25">
      <c r="M154" s="86"/>
      <c r="Q154" s="86"/>
    </row>
    <row r="155" spans="13:17" x14ac:dyDescent="0.25">
      <c r="M155" s="86"/>
      <c r="Q155" s="86"/>
    </row>
    <row r="156" spans="13:17" x14ac:dyDescent="0.25">
      <c r="M156" s="86"/>
      <c r="Q156" s="86"/>
    </row>
    <row r="157" spans="13:17" x14ac:dyDescent="0.25">
      <c r="M157" s="86"/>
      <c r="Q157" s="86"/>
    </row>
    <row r="158" spans="13:17" x14ac:dyDescent="0.25">
      <c r="M158" s="86"/>
      <c r="Q158" s="86"/>
    </row>
    <row r="159" spans="13:17" x14ac:dyDescent="0.25">
      <c r="M159" s="86"/>
      <c r="Q159" s="86"/>
    </row>
    <row r="160" spans="13:17" x14ac:dyDescent="0.25">
      <c r="M160" s="86"/>
      <c r="Q160" s="86"/>
    </row>
    <row r="161" spans="13:17" x14ac:dyDescent="0.25">
      <c r="M161" s="86"/>
      <c r="Q161" s="86"/>
    </row>
    <row r="162" spans="13:17" x14ac:dyDescent="0.25">
      <c r="M162" s="86"/>
      <c r="Q162" s="86"/>
    </row>
    <row r="163" spans="13:17" x14ac:dyDescent="0.25">
      <c r="M163" s="86"/>
      <c r="Q163" s="86"/>
    </row>
    <row r="164" spans="13:17" x14ac:dyDescent="0.25">
      <c r="M164" s="86"/>
      <c r="Q164" s="86"/>
    </row>
    <row r="165" spans="13:17" x14ac:dyDescent="0.25">
      <c r="M165" s="86"/>
      <c r="Q165" s="86"/>
    </row>
    <row r="166" spans="13:17" x14ac:dyDescent="0.25">
      <c r="M166" s="86"/>
      <c r="Q166" s="86"/>
    </row>
    <row r="167" spans="13:17" x14ac:dyDescent="0.25">
      <c r="M167" s="86"/>
      <c r="Q167" s="86"/>
    </row>
    <row r="168" spans="13:17" x14ac:dyDescent="0.25">
      <c r="M168" s="86"/>
      <c r="Q168" s="86"/>
    </row>
    <row r="169" spans="13:17" x14ac:dyDescent="0.25">
      <c r="M169" s="86"/>
      <c r="Q169" s="86"/>
    </row>
    <row r="170" spans="13:17" x14ac:dyDescent="0.25">
      <c r="M170" s="86"/>
      <c r="Q170" s="86"/>
    </row>
    <row r="171" spans="13:17" x14ac:dyDescent="0.25">
      <c r="M171" s="86"/>
      <c r="Q171" s="86"/>
    </row>
    <row r="172" spans="13:17" x14ac:dyDescent="0.25">
      <c r="M172" s="86"/>
      <c r="Q172" s="86"/>
    </row>
    <row r="173" spans="13:17" x14ac:dyDescent="0.25">
      <c r="M173" s="86"/>
      <c r="Q173" s="86"/>
    </row>
    <row r="174" spans="13:17" x14ac:dyDescent="0.25">
      <c r="M174" s="86"/>
      <c r="Q174" s="86"/>
    </row>
    <row r="175" spans="13:17" x14ac:dyDescent="0.25">
      <c r="M175" s="86"/>
      <c r="Q175" s="86"/>
    </row>
    <row r="176" spans="13:17" x14ac:dyDescent="0.25">
      <c r="M176" s="86"/>
      <c r="Q176" s="86"/>
    </row>
    <row r="177" spans="13:17" x14ac:dyDescent="0.25">
      <c r="M177" s="86"/>
      <c r="Q177" s="86"/>
    </row>
    <row r="178" spans="13:17" x14ac:dyDescent="0.25">
      <c r="M178" s="86"/>
      <c r="Q178" s="86"/>
    </row>
    <row r="179" spans="13:17" x14ac:dyDescent="0.25">
      <c r="M179" s="86"/>
      <c r="Q179" s="86"/>
    </row>
    <row r="180" spans="13:17" x14ac:dyDescent="0.25">
      <c r="M180" s="86"/>
      <c r="Q180" s="86"/>
    </row>
    <row r="181" spans="13:17" x14ac:dyDescent="0.25">
      <c r="M181" s="86"/>
      <c r="Q181" s="86"/>
    </row>
    <row r="182" spans="13:17" x14ac:dyDescent="0.25">
      <c r="M182" s="86"/>
      <c r="Q182" s="86"/>
    </row>
    <row r="183" spans="13:17" x14ac:dyDescent="0.25">
      <c r="M183" s="86"/>
      <c r="Q183" s="86"/>
    </row>
    <row r="184" spans="13:17" x14ac:dyDescent="0.25">
      <c r="M184" s="86"/>
      <c r="Q184" s="86"/>
    </row>
    <row r="185" spans="13:17" x14ac:dyDescent="0.25">
      <c r="M185" s="86"/>
      <c r="Q185" s="86"/>
    </row>
    <row r="186" spans="13:17" x14ac:dyDescent="0.25">
      <c r="M186" s="86"/>
      <c r="Q186" s="86"/>
    </row>
    <row r="187" spans="13:17" x14ac:dyDescent="0.25">
      <c r="M187" s="86"/>
      <c r="Q187" s="86"/>
    </row>
    <row r="188" spans="13:17" x14ac:dyDescent="0.25">
      <c r="M188" s="86"/>
      <c r="Q188" s="86"/>
    </row>
    <row r="189" spans="13:17" x14ac:dyDescent="0.25">
      <c r="M189" s="86"/>
      <c r="Q189" s="86"/>
    </row>
    <row r="190" spans="13:17" x14ac:dyDescent="0.25">
      <c r="M190" s="86"/>
      <c r="Q190" s="86"/>
    </row>
    <row r="191" spans="13:17" x14ac:dyDescent="0.25">
      <c r="M191" s="86"/>
      <c r="Q191" s="86"/>
    </row>
    <row r="192" spans="13:17" x14ac:dyDescent="0.25">
      <c r="M192" s="86"/>
      <c r="Q192" s="86"/>
    </row>
    <row r="193" spans="13:17" x14ac:dyDescent="0.25">
      <c r="M193" s="86"/>
      <c r="Q193" s="86"/>
    </row>
    <row r="194" spans="13:17" x14ac:dyDescent="0.25">
      <c r="M194" s="86"/>
      <c r="Q194" s="86"/>
    </row>
    <row r="195" spans="13:17" x14ac:dyDescent="0.25">
      <c r="M195" s="86"/>
      <c r="Q195" s="86"/>
    </row>
    <row r="196" spans="13:17" x14ac:dyDescent="0.25">
      <c r="M196" s="86"/>
      <c r="Q196" s="86"/>
    </row>
    <row r="197" spans="13:17" x14ac:dyDescent="0.25">
      <c r="M197" s="86"/>
      <c r="Q197" s="86"/>
    </row>
    <row r="198" spans="13:17" x14ac:dyDescent="0.25">
      <c r="M198" s="86"/>
      <c r="Q198" s="86"/>
    </row>
    <row r="199" spans="13:17" x14ac:dyDescent="0.25">
      <c r="M199" s="86"/>
      <c r="Q199" s="86"/>
    </row>
    <row r="200" spans="13:17" x14ac:dyDescent="0.25">
      <c r="M200" s="86"/>
      <c r="Q200" s="86"/>
    </row>
    <row r="201" spans="13:17" x14ac:dyDescent="0.25">
      <c r="M201" s="86"/>
      <c r="Q201" s="86"/>
    </row>
    <row r="202" spans="13:17" x14ac:dyDescent="0.25">
      <c r="M202" s="86"/>
      <c r="Q202" s="86"/>
    </row>
    <row r="203" spans="13:17" x14ac:dyDescent="0.25">
      <c r="M203" s="86"/>
      <c r="Q203" s="86"/>
    </row>
    <row r="204" spans="13:17" x14ac:dyDescent="0.25">
      <c r="M204" s="86"/>
      <c r="Q204" s="86"/>
    </row>
    <row r="205" spans="13:17" x14ac:dyDescent="0.25">
      <c r="M205" s="86"/>
      <c r="Q205" s="86"/>
    </row>
    <row r="206" spans="13:17" x14ac:dyDescent="0.25">
      <c r="M206" s="86"/>
      <c r="Q206" s="86"/>
    </row>
    <row r="207" spans="13:17" x14ac:dyDescent="0.25">
      <c r="M207" s="86"/>
      <c r="Q207" s="86"/>
    </row>
    <row r="208" spans="13:17" x14ac:dyDescent="0.25">
      <c r="M208" s="86"/>
      <c r="Q208" s="86"/>
    </row>
    <row r="209" spans="13:17" x14ac:dyDescent="0.25">
      <c r="M209" s="86"/>
      <c r="Q209" s="86"/>
    </row>
    <row r="210" spans="13:17" x14ac:dyDescent="0.25">
      <c r="M210" s="86"/>
      <c r="Q210" s="86"/>
    </row>
    <row r="211" spans="13:17" x14ac:dyDescent="0.25">
      <c r="M211" s="86"/>
      <c r="Q211" s="86"/>
    </row>
    <row r="212" spans="13:17" x14ac:dyDescent="0.25">
      <c r="M212" s="86"/>
      <c r="Q212" s="86"/>
    </row>
    <row r="213" spans="13:17" x14ac:dyDescent="0.25">
      <c r="M213" s="86"/>
      <c r="Q213" s="86"/>
    </row>
    <row r="214" spans="13:17" x14ac:dyDescent="0.25">
      <c r="M214" s="86"/>
      <c r="Q214" s="86"/>
    </row>
    <row r="215" spans="13:17" x14ac:dyDescent="0.25">
      <c r="M215" s="86"/>
      <c r="Q215" s="86"/>
    </row>
    <row r="216" spans="13:17" x14ac:dyDescent="0.25">
      <c r="M216" s="86"/>
      <c r="Q216" s="86"/>
    </row>
    <row r="217" spans="13:17" x14ac:dyDescent="0.25">
      <c r="M217" s="86"/>
      <c r="Q217" s="86"/>
    </row>
    <row r="218" spans="13:17" x14ac:dyDescent="0.25">
      <c r="M218" s="86"/>
      <c r="Q218" s="86"/>
    </row>
    <row r="219" spans="13:17" x14ac:dyDescent="0.25">
      <c r="M219" s="86"/>
      <c r="Q219" s="86"/>
    </row>
    <row r="220" spans="13:17" x14ac:dyDescent="0.25">
      <c r="M220" s="86"/>
      <c r="Q220" s="86"/>
    </row>
    <row r="221" spans="13:17" x14ac:dyDescent="0.25">
      <c r="M221" s="86"/>
      <c r="Q221" s="86"/>
    </row>
    <row r="222" spans="13:17" x14ac:dyDescent="0.25">
      <c r="M222" s="86"/>
      <c r="Q222" s="86"/>
    </row>
    <row r="223" spans="13:17" x14ac:dyDescent="0.25">
      <c r="M223" s="86"/>
      <c r="Q223" s="86"/>
    </row>
    <row r="224" spans="13:17" x14ac:dyDescent="0.25">
      <c r="M224" s="86"/>
      <c r="Q224" s="86"/>
    </row>
    <row r="225" spans="13:17" x14ac:dyDescent="0.25">
      <c r="M225" s="86"/>
      <c r="Q225" s="86"/>
    </row>
    <row r="226" spans="13:17" x14ac:dyDescent="0.25">
      <c r="M226" s="86"/>
      <c r="Q226" s="86"/>
    </row>
    <row r="227" spans="13:17" x14ac:dyDescent="0.25">
      <c r="M227" s="86"/>
      <c r="Q227" s="86"/>
    </row>
    <row r="228" spans="13:17" x14ac:dyDescent="0.25">
      <c r="M228" s="86"/>
      <c r="Q228" s="86"/>
    </row>
    <row r="229" spans="13:17" x14ac:dyDescent="0.25">
      <c r="M229" s="86"/>
      <c r="Q229" s="86"/>
    </row>
    <row r="230" spans="13:17" x14ac:dyDescent="0.25">
      <c r="M230" s="86"/>
      <c r="Q230" s="86"/>
    </row>
    <row r="231" spans="13:17" x14ac:dyDescent="0.25">
      <c r="M231" s="86"/>
      <c r="Q231" s="86"/>
    </row>
    <row r="232" spans="13:17" x14ac:dyDescent="0.25">
      <c r="M232" s="86"/>
      <c r="Q232" s="86"/>
    </row>
    <row r="233" spans="13:17" x14ac:dyDescent="0.25">
      <c r="M233" s="86"/>
      <c r="Q233" s="86"/>
    </row>
    <row r="234" spans="13:17" x14ac:dyDescent="0.25">
      <c r="M234" s="86"/>
      <c r="Q234" s="86"/>
    </row>
    <row r="235" spans="13:17" x14ac:dyDescent="0.25">
      <c r="M235" s="86"/>
      <c r="Q235" s="86"/>
    </row>
    <row r="236" spans="13:17" x14ac:dyDescent="0.25">
      <c r="M236" s="86"/>
      <c r="Q236" s="86"/>
    </row>
    <row r="237" spans="13:17" x14ac:dyDescent="0.25">
      <c r="M237" s="86"/>
      <c r="Q237" s="86"/>
    </row>
    <row r="238" spans="13:17" x14ac:dyDescent="0.25">
      <c r="M238" s="86"/>
      <c r="Q238" s="86"/>
    </row>
    <row r="239" spans="13:17" x14ac:dyDescent="0.25">
      <c r="M239" s="86"/>
      <c r="Q239" s="86"/>
    </row>
    <row r="240" spans="13:17" x14ac:dyDescent="0.25">
      <c r="M240" s="86"/>
      <c r="Q240" s="86"/>
    </row>
    <row r="241" spans="13:17" x14ac:dyDescent="0.25">
      <c r="M241" s="86"/>
      <c r="Q241" s="86"/>
    </row>
    <row r="242" spans="13:17" x14ac:dyDescent="0.25">
      <c r="M242" s="86"/>
      <c r="Q242" s="86"/>
    </row>
    <row r="243" spans="13:17" x14ac:dyDescent="0.25">
      <c r="M243" s="86"/>
      <c r="Q243" s="86"/>
    </row>
    <row r="244" spans="13:17" x14ac:dyDescent="0.25">
      <c r="M244" s="86"/>
      <c r="Q244" s="86"/>
    </row>
    <row r="245" spans="13:17" x14ac:dyDescent="0.25">
      <c r="M245" s="86"/>
      <c r="Q245" s="86"/>
    </row>
    <row r="246" spans="13:17" x14ac:dyDescent="0.25">
      <c r="M246" s="86"/>
      <c r="Q246" s="86"/>
    </row>
    <row r="247" spans="13:17" x14ac:dyDescent="0.25">
      <c r="M247" s="86"/>
      <c r="Q247" s="86"/>
    </row>
    <row r="248" spans="13:17" x14ac:dyDescent="0.25">
      <c r="M248" s="86"/>
      <c r="Q248" s="86"/>
    </row>
    <row r="249" spans="13:17" x14ac:dyDescent="0.25">
      <c r="M249" s="86"/>
      <c r="Q249" s="86"/>
    </row>
    <row r="250" spans="13:17" x14ac:dyDescent="0.25">
      <c r="M250" s="86"/>
      <c r="Q250" s="86"/>
    </row>
    <row r="251" spans="13:17" x14ac:dyDescent="0.25">
      <c r="M251" s="86"/>
      <c r="Q251" s="86"/>
    </row>
    <row r="252" spans="13:17" x14ac:dyDescent="0.25">
      <c r="M252" s="86"/>
      <c r="Q252" s="86"/>
    </row>
    <row r="253" spans="13:17" x14ac:dyDescent="0.25">
      <c r="M253" s="86"/>
      <c r="Q253" s="86"/>
    </row>
    <row r="254" spans="13:17" x14ac:dyDescent="0.25">
      <c r="M254" s="86"/>
      <c r="Q254" s="86"/>
    </row>
    <row r="255" spans="13:17" x14ac:dyDescent="0.25">
      <c r="M255" s="86"/>
      <c r="Q255" s="86"/>
    </row>
    <row r="256" spans="13:17" x14ac:dyDescent="0.25">
      <c r="M256" s="86"/>
      <c r="Q256" s="86"/>
    </row>
    <row r="257" spans="13:17" x14ac:dyDescent="0.25">
      <c r="M257" s="86"/>
      <c r="Q257" s="86"/>
    </row>
    <row r="258" spans="13:17" x14ac:dyDescent="0.25">
      <c r="M258" s="86"/>
      <c r="Q258" s="86"/>
    </row>
    <row r="259" spans="13:17" x14ac:dyDescent="0.25">
      <c r="M259" s="86"/>
      <c r="Q259" s="86"/>
    </row>
    <row r="260" spans="13:17" x14ac:dyDescent="0.25">
      <c r="M260" s="86"/>
      <c r="Q260" s="86"/>
    </row>
    <row r="261" spans="13:17" x14ac:dyDescent="0.25">
      <c r="M261" s="86"/>
      <c r="Q261" s="86"/>
    </row>
    <row r="262" spans="13:17" x14ac:dyDescent="0.25">
      <c r="M262" s="86"/>
      <c r="Q262" s="86"/>
    </row>
    <row r="263" spans="13:17" x14ac:dyDescent="0.25">
      <c r="M263" s="86"/>
      <c r="Q263" s="86"/>
    </row>
    <row r="264" spans="13:17" x14ac:dyDescent="0.25">
      <c r="M264" s="86"/>
      <c r="Q264" s="86"/>
    </row>
    <row r="265" spans="13:17" x14ac:dyDescent="0.25">
      <c r="M265" s="86"/>
      <c r="Q265" s="86"/>
    </row>
    <row r="266" spans="13:17" x14ac:dyDescent="0.25">
      <c r="M266" s="86"/>
      <c r="Q266" s="86"/>
    </row>
    <row r="267" spans="13:17" x14ac:dyDescent="0.25">
      <c r="M267" s="86"/>
      <c r="Q267" s="86"/>
    </row>
    <row r="268" spans="13:17" x14ac:dyDescent="0.25">
      <c r="M268" s="86"/>
      <c r="Q268" s="86"/>
    </row>
    <row r="269" spans="13:17" x14ac:dyDescent="0.25">
      <c r="M269" s="86"/>
      <c r="Q269" s="86"/>
    </row>
    <row r="270" spans="13:17" x14ac:dyDescent="0.25">
      <c r="M270" s="86"/>
      <c r="Q270" s="86"/>
    </row>
    <row r="271" spans="13:17" x14ac:dyDescent="0.25">
      <c r="M271" s="86"/>
      <c r="Q271" s="86"/>
    </row>
    <row r="272" spans="13:17" x14ac:dyDescent="0.25">
      <c r="M272" s="86"/>
      <c r="Q272" s="86"/>
    </row>
    <row r="273" spans="13:17" x14ac:dyDescent="0.25">
      <c r="M273" s="86"/>
      <c r="Q273" s="86"/>
    </row>
    <row r="274" spans="13:17" x14ac:dyDescent="0.25">
      <c r="M274" s="86"/>
      <c r="Q274" s="86"/>
    </row>
    <row r="275" spans="13:17" x14ac:dyDescent="0.25">
      <c r="M275" s="86"/>
      <c r="Q275" s="86"/>
    </row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EC06-838C-421E-95D0-02ED2A7CA546}">
  <sheetPr>
    <tabColor rgb="FF9966FF"/>
    <pageSetUpPr autoPageBreaks="0"/>
  </sheetPr>
  <dimension ref="A1:U89"/>
  <sheetViews>
    <sheetView showGridLines="0" zoomScaleNormal="100" zoomScaleSheetLayoutView="100" workbookViewId="0">
      <pane ySplit="10" topLeftCell="A17" activePane="bottomLeft" state="frozen"/>
      <selection activeCell="R10" sqref="R10"/>
      <selection pane="bottomLeft" activeCell="M24" sqref="M24:M42"/>
    </sheetView>
  </sheetViews>
  <sheetFormatPr defaultColWidth="9.140625" defaultRowHeight="15" x14ac:dyDescent="0.25"/>
  <cols>
    <col min="1" max="1" width="35.28515625" style="15" customWidth="1"/>
    <col min="2" max="2" width="10.7109375" style="29" hidden="1" customWidth="1"/>
    <col min="3" max="4" width="6" style="15" customWidth="1"/>
    <col min="5" max="5" width="6" style="15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86" hidden="1" customWidth="1"/>
    <col min="16" max="16" width="1.7109375" style="2" hidden="1" customWidth="1"/>
    <col min="17" max="17" width="9.7109375" style="15" hidden="1" customWidth="1"/>
    <col min="18" max="18" width="26.7109375" customWidth="1"/>
    <col min="22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2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8"/>
      <c r="B3" s="80"/>
      <c r="C3" s="8"/>
      <c r="D3" s="8"/>
      <c r="E3" s="8"/>
      <c r="G3" s="8"/>
      <c r="I3" s="81"/>
      <c r="K3" s="8"/>
      <c r="M3" s="8"/>
      <c r="N3" s="8"/>
      <c r="O3" s="82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2"/>
    </row>
    <row r="5" spans="1:18" ht="13.15" customHeight="1" x14ac:dyDescent="0.25">
      <c r="A5" s="83" t="s">
        <v>186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2"/>
    </row>
    <row r="6" spans="1:18" ht="13.15" customHeight="1" x14ac:dyDescent="0.25">
      <c r="A6" s="83" t="s">
        <v>187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2"/>
    </row>
    <row r="7" spans="1:18" ht="13.15" customHeight="1" x14ac:dyDescent="0.25">
      <c r="A7" s="84"/>
      <c r="B7" s="85"/>
      <c r="C7" s="84"/>
      <c r="D7" s="84"/>
      <c r="E7" s="84"/>
      <c r="F7" s="110"/>
      <c r="G7" s="84"/>
      <c r="H7" s="110"/>
      <c r="I7" s="111"/>
      <c r="J7" s="110"/>
      <c r="K7" s="84"/>
      <c r="L7" s="110"/>
      <c r="M7" s="84"/>
      <c r="N7" s="15" t="s">
        <v>4</v>
      </c>
      <c r="Q7" s="84"/>
    </row>
    <row r="8" spans="1:18" x14ac:dyDescent="0.25">
      <c r="G8" s="18"/>
      <c r="H8" s="19"/>
      <c r="I8" s="20"/>
      <c r="J8" s="19"/>
      <c r="K8" s="18"/>
      <c r="L8" s="21" t="s">
        <v>4</v>
      </c>
      <c r="M8" s="22">
        <f>' 911 Admin'!M8</f>
        <v>2027</v>
      </c>
      <c r="N8" s="22"/>
      <c r="O8" s="22"/>
      <c r="P8" s="22"/>
      <c r="Q8" s="22"/>
    </row>
    <row r="9" spans="1:18" x14ac:dyDescent="0.25">
      <c r="C9" s="21"/>
      <c r="D9" s="21"/>
      <c r="E9" s="21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x14ac:dyDescent="0.25">
      <c r="B10" s="26" t="s">
        <v>8</v>
      </c>
      <c r="C10" s="26" t="s">
        <v>9</v>
      </c>
      <c r="D10" s="26" t="s">
        <v>10</v>
      </c>
      <c r="E10" s="21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5" customHeight="1" x14ac:dyDescent="0.25">
      <c r="A11" s="28" t="s">
        <v>188</v>
      </c>
      <c r="I11" s="15"/>
      <c r="M11" s="86"/>
      <c r="Q11" s="86"/>
    </row>
    <row r="12" spans="1:18" ht="15" customHeight="1" x14ac:dyDescent="0.25">
      <c r="A12" s="92" t="s">
        <v>120</v>
      </c>
      <c r="B12" s="93" t="s">
        <v>189</v>
      </c>
      <c r="C12" s="69">
        <v>501201</v>
      </c>
      <c r="D12" s="69"/>
      <c r="E12" s="69" t="str">
        <f>_xlfn.CONCAT(B12,C12,D12)</f>
        <v>00109130501201</v>
      </c>
      <c r="F12" s="95" t="s">
        <v>19</v>
      </c>
      <c r="G12" s="34">
        <f>ROUND(IFERROR(VLOOKUP(_xlfn.CONCAT($B12,$C12,$D12),$A$53:$C$9993,3,FALSE),0),0)</f>
        <v>0</v>
      </c>
      <c r="H12" s="95" t="s">
        <v>19</v>
      </c>
      <c r="I12" s="34">
        <f>ROUND(IFERROR(VLOOKUP(_xlfn.CONCAT($B12,$C12,$D12),$A$53:$C$9993,2,FALSE),0),0)</f>
        <v>0</v>
      </c>
      <c r="J12" s="95" t="s">
        <v>19</v>
      </c>
      <c r="K12" s="45">
        <v>0</v>
      </c>
      <c r="L12" s="95" t="s">
        <v>19</v>
      </c>
      <c r="M12" s="45">
        <f>'[1]Payroll Summary by Department'!C62</f>
        <v>0</v>
      </c>
      <c r="N12" s="112" t="s">
        <v>19</v>
      </c>
      <c r="O12" s="45">
        <f>M12</f>
        <v>0</v>
      </c>
      <c r="P12" s="112" t="s">
        <v>19</v>
      </c>
      <c r="Q12" s="45">
        <f>O12</f>
        <v>0</v>
      </c>
    </row>
    <row r="13" spans="1:18" ht="15" customHeight="1" x14ac:dyDescent="0.25">
      <c r="A13" s="40" t="s">
        <v>21</v>
      </c>
      <c r="B13" s="93" t="s">
        <v>189</v>
      </c>
      <c r="C13" s="42">
        <v>501400</v>
      </c>
      <c r="D13" s="42"/>
      <c r="E13" s="69" t="str">
        <f t="shared" ref="E13:E42" si="0">_xlfn.CONCAT(B13,C13,D13)</f>
        <v>00109130501400</v>
      </c>
      <c r="F13" s="95"/>
      <c r="G13" s="34">
        <f t="shared" ref="G13:G18" si="1">ROUND(IFERROR(VLOOKUP(_xlfn.CONCAT($B13,$C13,$D13),$A$53:$C$9993,3,FALSE),0),0)</f>
        <v>0</v>
      </c>
      <c r="H13" s="95"/>
      <c r="I13" s="34">
        <f t="shared" ref="I13:I18" si="2">ROUND(IFERROR(VLOOKUP(_xlfn.CONCAT($B13,$C13,$D13),$A$53:$C$9993,2,FALSE),0),0)</f>
        <v>0</v>
      </c>
      <c r="J13" s="95"/>
      <c r="K13" s="72">
        <v>0</v>
      </c>
      <c r="L13" s="95"/>
      <c r="M13" s="72">
        <v>0</v>
      </c>
      <c r="N13" s="112"/>
      <c r="O13" s="45">
        <f t="shared" ref="O13:O18" si="3">M13</f>
        <v>0</v>
      </c>
      <c r="Q13" s="72">
        <f t="shared" ref="Q13:Q18" si="4">O13</f>
        <v>0</v>
      </c>
    </row>
    <row r="14" spans="1:18" ht="15" customHeight="1" x14ac:dyDescent="0.25">
      <c r="A14" s="40" t="s">
        <v>26</v>
      </c>
      <c r="B14" s="93" t="s">
        <v>189</v>
      </c>
      <c r="C14" s="41">
        <v>501800</v>
      </c>
      <c r="D14" s="41"/>
      <c r="E14" s="69" t="str">
        <f t="shared" si="0"/>
        <v>00109130501800</v>
      </c>
      <c r="G14" s="34">
        <f t="shared" si="1"/>
        <v>0</v>
      </c>
      <c r="I14" s="34">
        <f t="shared" si="2"/>
        <v>0</v>
      </c>
      <c r="K14" s="45">
        <v>0</v>
      </c>
      <c r="M14" s="45">
        <v>0</v>
      </c>
      <c r="O14" s="45">
        <f t="shared" si="3"/>
        <v>0</v>
      </c>
      <c r="Q14" s="45">
        <f t="shared" si="4"/>
        <v>0</v>
      </c>
    </row>
    <row r="15" spans="1:18" ht="15" customHeight="1" x14ac:dyDescent="0.25">
      <c r="A15" s="40" t="s">
        <v>27</v>
      </c>
      <c r="B15" s="93" t="s">
        <v>189</v>
      </c>
      <c r="C15" s="69">
        <v>502100</v>
      </c>
      <c r="D15" s="69"/>
      <c r="E15" s="69" t="str">
        <f t="shared" si="0"/>
        <v>00109130502100</v>
      </c>
      <c r="G15" s="34">
        <f t="shared" si="1"/>
        <v>0</v>
      </c>
      <c r="I15" s="34">
        <f t="shared" si="2"/>
        <v>0</v>
      </c>
      <c r="K15" s="45">
        <v>0</v>
      </c>
      <c r="M15" s="45">
        <f>'[1]Payroll Summary by Department'!N62</f>
        <v>0</v>
      </c>
      <c r="O15" s="45">
        <f t="shared" si="3"/>
        <v>0</v>
      </c>
      <c r="Q15" s="45">
        <f t="shared" si="4"/>
        <v>0</v>
      </c>
    </row>
    <row r="16" spans="1:18" ht="15" customHeight="1" x14ac:dyDescent="0.25">
      <c r="A16" s="40" t="s">
        <v>28</v>
      </c>
      <c r="B16" s="93" t="s">
        <v>189</v>
      </c>
      <c r="C16" s="69">
        <v>502200</v>
      </c>
      <c r="D16" s="69"/>
      <c r="E16" s="69" t="str">
        <f t="shared" si="0"/>
        <v>00109130502200</v>
      </c>
      <c r="G16" s="34">
        <f t="shared" si="1"/>
        <v>0</v>
      </c>
      <c r="I16" s="34">
        <f t="shared" si="2"/>
        <v>0</v>
      </c>
      <c r="K16" s="45">
        <v>0</v>
      </c>
      <c r="M16" s="45">
        <f>'[1]Payroll Summary by Department'!O62+'[1]Payroll Summary by Department'!P62</f>
        <v>0</v>
      </c>
      <c r="O16" s="45">
        <f t="shared" si="3"/>
        <v>0</v>
      </c>
      <c r="Q16" s="45">
        <f t="shared" si="4"/>
        <v>0</v>
      </c>
    </row>
    <row r="17" spans="1:17" ht="15" customHeight="1" x14ac:dyDescent="0.25">
      <c r="A17" s="40" t="s">
        <v>29</v>
      </c>
      <c r="B17" s="93" t="s">
        <v>189</v>
      </c>
      <c r="C17" s="69">
        <v>502300</v>
      </c>
      <c r="D17" s="69"/>
      <c r="E17" s="69" t="str">
        <f t="shared" si="0"/>
        <v>00109130502300</v>
      </c>
      <c r="F17" s="67"/>
      <c r="G17" s="34">
        <f t="shared" si="1"/>
        <v>0</v>
      </c>
      <c r="H17" s="67"/>
      <c r="I17" s="34">
        <f t="shared" si="2"/>
        <v>0</v>
      </c>
      <c r="J17" s="67"/>
      <c r="K17" s="45">
        <v>0</v>
      </c>
      <c r="L17" s="67"/>
      <c r="M17" s="45">
        <f>'[1]Payroll Summary by Department'!Q62</f>
        <v>0</v>
      </c>
      <c r="N17" s="45"/>
      <c r="O17" s="45">
        <f t="shared" si="3"/>
        <v>0</v>
      </c>
      <c r="Q17" s="45">
        <f t="shared" si="4"/>
        <v>0</v>
      </c>
    </row>
    <row r="18" spans="1:17" ht="15" customHeight="1" x14ac:dyDescent="0.25">
      <c r="A18" s="40" t="s">
        <v>30</v>
      </c>
      <c r="B18" s="93" t="s">
        <v>189</v>
      </c>
      <c r="C18" s="69">
        <v>502400</v>
      </c>
      <c r="D18" s="69"/>
      <c r="E18" s="69" t="str">
        <f t="shared" si="0"/>
        <v>00109130502400</v>
      </c>
      <c r="G18" s="34">
        <f t="shared" si="1"/>
        <v>0</v>
      </c>
      <c r="I18" s="34">
        <f t="shared" si="2"/>
        <v>0</v>
      </c>
      <c r="K18" s="97">
        <v>0</v>
      </c>
      <c r="M18" s="97">
        <f>'[1]Payroll Summary by Department'!R62</f>
        <v>0</v>
      </c>
      <c r="O18" s="97">
        <f t="shared" si="3"/>
        <v>0</v>
      </c>
      <c r="Q18" s="97">
        <f t="shared" si="4"/>
        <v>0</v>
      </c>
    </row>
    <row r="19" spans="1:17" ht="24.95" customHeight="1" x14ac:dyDescent="0.25">
      <c r="A19" s="49" t="s">
        <v>190</v>
      </c>
      <c r="B19" s="50"/>
      <c r="E19" s="69" t="str">
        <f t="shared" si="0"/>
        <v/>
      </c>
      <c r="F19" s="95" t="s">
        <v>19</v>
      </c>
      <c r="G19" s="98">
        <f>SUM(G12:G18)</f>
        <v>0</v>
      </c>
      <c r="H19" s="95" t="s">
        <v>19</v>
      </c>
      <c r="I19" s="98">
        <f>SUM(I12:I18)</f>
        <v>0</v>
      </c>
      <c r="J19" s="95" t="s">
        <v>19</v>
      </c>
      <c r="K19" s="97">
        <f>SUM(K12:K18)</f>
        <v>0</v>
      </c>
      <c r="L19" s="95" t="s">
        <v>19</v>
      </c>
      <c r="M19" s="97">
        <f>SUM(M12:M18)</f>
        <v>0</v>
      </c>
      <c r="N19" s="112" t="s">
        <v>19</v>
      </c>
      <c r="O19" s="97">
        <f>SUM(O12:O18)</f>
        <v>0</v>
      </c>
      <c r="P19" s="112" t="s">
        <v>19</v>
      </c>
      <c r="Q19" s="97">
        <f>SUM(Q12:Q18)</f>
        <v>0</v>
      </c>
    </row>
    <row r="20" spans="1:17" ht="24.95" customHeight="1" x14ac:dyDescent="0.25">
      <c r="A20" s="99" t="s">
        <v>32</v>
      </c>
      <c r="E20" s="69" t="str">
        <f t="shared" si="0"/>
        <v/>
      </c>
      <c r="G20" s="45"/>
      <c r="I20" s="45"/>
      <c r="K20" s="45"/>
      <c r="M20" s="45"/>
      <c r="O20" s="45"/>
      <c r="Q20" s="45"/>
    </row>
    <row r="21" spans="1:17" ht="15" customHeight="1" x14ac:dyDescent="0.25">
      <c r="A21" s="100" t="s">
        <v>191</v>
      </c>
      <c r="B21" s="70"/>
      <c r="C21" s="15" t="s">
        <v>4</v>
      </c>
      <c r="E21" s="69" t="str">
        <f t="shared" si="0"/>
        <v xml:space="preserve"> </v>
      </c>
      <c r="G21" s="101">
        <v>0</v>
      </c>
      <c r="I21" s="101">
        <v>0</v>
      </c>
      <c r="K21" s="101">
        <v>0</v>
      </c>
      <c r="M21" s="101">
        <v>0</v>
      </c>
      <c r="O21" s="101">
        <f>M21</f>
        <v>0</v>
      </c>
      <c r="Q21" s="101"/>
    </row>
    <row r="22" spans="1:17" ht="24.95" customHeight="1" thickBot="1" x14ac:dyDescent="0.3">
      <c r="A22" s="102" t="s">
        <v>51</v>
      </c>
      <c r="B22" s="61"/>
      <c r="E22" s="69" t="str">
        <f t="shared" si="0"/>
        <v/>
      </c>
      <c r="G22" s="103">
        <f>SUM(G21:G21)</f>
        <v>0</v>
      </c>
      <c r="I22" s="103">
        <f>SUM(I21:I21)</f>
        <v>0</v>
      </c>
      <c r="K22" s="103">
        <f>SUM(K21:K21)</f>
        <v>0</v>
      </c>
      <c r="M22" s="103">
        <f>SUM(M21:M21)</f>
        <v>0</v>
      </c>
      <c r="O22" s="103">
        <f>SUM(O21:O21)</f>
        <v>0</v>
      </c>
      <c r="Q22" s="103"/>
    </row>
    <row r="23" spans="1:17" ht="13.5" customHeight="1" thickTop="1" x14ac:dyDescent="0.25">
      <c r="A23" s="99" t="s">
        <v>52</v>
      </c>
      <c r="E23" s="69" t="str">
        <f t="shared" si="0"/>
        <v/>
      </c>
      <c r="G23" s="45"/>
      <c r="I23" s="45"/>
      <c r="K23" s="45"/>
      <c r="M23" s="45"/>
      <c r="N23" s="45"/>
      <c r="O23" s="45"/>
      <c r="Q23" s="45"/>
    </row>
    <row r="24" spans="1:17" ht="13.5" customHeight="1" x14ac:dyDescent="0.25">
      <c r="A24" s="40" t="s">
        <v>192</v>
      </c>
      <c r="B24" s="93" t="s">
        <v>189</v>
      </c>
      <c r="C24" s="15">
        <v>503140</v>
      </c>
      <c r="E24" s="69" t="str">
        <f t="shared" si="0"/>
        <v>00109130503140</v>
      </c>
      <c r="F24" s="42" t="s">
        <v>19</v>
      </c>
      <c r="G24" s="34">
        <f t="shared" ref="G24:G42" si="5">ROUND(IFERROR(VLOOKUP(_xlfn.CONCAT($B24,$C24,$D24),$A$53:$C$9993,3,FALSE),0),0)</f>
        <v>0</v>
      </c>
      <c r="H24" s="43" t="s">
        <v>19</v>
      </c>
      <c r="I24" s="34">
        <f t="shared" ref="I24:I42" si="6">ROUND(IFERROR(VLOOKUP(_xlfn.CONCAT($B24,$C24,$D24),$A$53:$C$9993,2,FALSE),0),0)</f>
        <v>0</v>
      </c>
      <c r="J24" s="43" t="s">
        <v>19</v>
      </c>
      <c r="K24" s="113">
        <v>0</v>
      </c>
      <c r="L24" s="43" t="s">
        <v>19</v>
      </c>
      <c r="M24" s="238">
        <v>0</v>
      </c>
      <c r="N24" s="39" t="s">
        <v>19</v>
      </c>
      <c r="O24" s="113">
        <f>M24</f>
        <v>0</v>
      </c>
      <c r="P24" s="39" t="s">
        <v>19</v>
      </c>
      <c r="Q24" s="113">
        <f>O24</f>
        <v>0</v>
      </c>
    </row>
    <row r="25" spans="1:17" ht="13.5" customHeight="1" x14ac:dyDescent="0.25">
      <c r="A25" s="40" t="s">
        <v>193</v>
      </c>
      <c r="B25" s="93" t="s">
        <v>189</v>
      </c>
      <c r="C25" s="15">
        <v>503499</v>
      </c>
      <c r="E25" s="69" t="str">
        <f t="shared" si="0"/>
        <v>00109130503499</v>
      </c>
      <c r="F25" s="42" t="s">
        <v>19</v>
      </c>
      <c r="G25" s="34">
        <f t="shared" si="5"/>
        <v>0</v>
      </c>
      <c r="H25" s="42" t="s">
        <v>19</v>
      </c>
      <c r="I25" s="34">
        <f t="shared" si="6"/>
        <v>0</v>
      </c>
      <c r="J25" s="42" t="s">
        <v>19</v>
      </c>
      <c r="K25" s="113">
        <v>1400</v>
      </c>
      <c r="L25" s="42" t="s">
        <v>19</v>
      </c>
      <c r="M25" s="238">
        <v>1400</v>
      </c>
      <c r="N25" s="42" t="s">
        <v>19</v>
      </c>
      <c r="O25" s="113">
        <f>M25</f>
        <v>1400</v>
      </c>
      <c r="P25" s="42" t="s">
        <v>19</v>
      </c>
      <c r="Q25" s="113">
        <f>O25</f>
        <v>1400</v>
      </c>
    </row>
    <row r="26" spans="1:17" ht="13.5" customHeight="1" x14ac:dyDescent="0.25">
      <c r="A26" s="40" t="s">
        <v>128</v>
      </c>
      <c r="B26" s="93" t="s">
        <v>189</v>
      </c>
      <c r="C26" s="15">
        <v>504601</v>
      </c>
      <c r="E26" s="69" t="str">
        <f t="shared" si="0"/>
        <v>00109130504601</v>
      </c>
      <c r="G26" s="34">
        <f t="shared" si="5"/>
        <v>0</v>
      </c>
      <c r="H26" s="43"/>
      <c r="I26" s="34">
        <f t="shared" si="6"/>
        <v>2293</v>
      </c>
      <c r="J26" s="43"/>
      <c r="K26" s="113">
        <v>2000</v>
      </c>
      <c r="L26" s="43"/>
      <c r="M26" s="238">
        <v>2000</v>
      </c>
      <c r="N26" s="39"/>
      <c r="O26" s="113">
        <f t="shared" ref="O26:O42" si="7">M26</f>
        <v>2000</v>
      </c>
      <c r="Q26" s="113">
        <f t="shared" ref="Q26:Q42" si="8">O26</f>
        <v>2000</v>
      </c>
    </row>
    <row r="27" spans="1:17" ht="13.5" customHeight="1" x14ac:dyDescent="0.25">
      <c r="A27" s="40" t="s">
        <v>130</v>
      </c>
      <c r="B27" s="93" t="s">
        <v>189</v>
      </c>
      <c r="C27" s="69">
        <v>504602</v>
      </c>
      <c r="D27" s="69"/>
      <c r="E27" s="69" t="str">
        <f t="shared" si="0"/>
        <v>00109130504602</v>
      </c>
      <c r="G27" s="34">
        <f t="shared" si="5"/>
        <v>2745</v>
      </c>
      <c r="H27" s="43"/>
      <c r="I27" s="34">
        <f t="shared" si="6"/>
        <v>2574</v>
      </c>
      <c r="J27" s="43"/>
      <c r="K27" s="45">
        <v>3000</v>
      </c>
      <c r="L27" s="43"/>
      <c r="M27" s="234">
        <v>3000</v>
      </c>
      <c r="N27" s="44"/>
      <c r="O27" s="113">
        <f t="shared" si="7"/>
        <v>3000</v>
      </c>
      <c r="Q27" s="113">
        <f t="shared" si="8"/>
        <v>3000</v>
      </c>
    </row>
    <row r="28" spans="1:17" ht="13.5" customHeight="1" x14ac:dyDescent="0.25">
      <c r="A28" s="40" t="s">
        <v>135</v>
      </c>
      <c r="B28" s="93" t="s">
        <v>189</v>
      </c>
      <c r="C28" s="15">
        <v>504620</v>
      </c>
      <c r="E28" s="69" t="str">
        <f t="shared" si="0"/>
        <v>00109130504620</v>
      </c>
      <c r="G28" s="34">
        <f t="shared" si="5"/>
        <v>2390</v>
      </c>
      <c r="H28" s="43"/>
      <c r="I28" s="34">
        <f t="shared" si="6"/>
        <v>7851</v>
      </c>
      <c r="J28" s="43"/>
      <c r="K28" s="45">
        <v>0</v>
      </c>
      <c r="L28" s="43"/>
      <c r="M28" s="234">
        <v>0</v>
      </c>
      <c r="N28" s="45"/>
      <c r="O28" s="113">
        <f t="shared" si="7"/>
        <v>0</v>
      </c>
      <c r="Q28" s="113">
        <f t="shared" si="8"/>
        <v>0</v>
      </c>
    </row>
    <row r="29" spans="1:17" ht="13.5" customHeight="1" x14ac:dyDescent="0.25">
      <c r="A29" s="60" t="s">
        <v>136</v>
      </c>
      <c r="B29" s="93" t="s">
        <v>189</v>
      </c>
      <c r="C29" s="69"/>
      <c r="D29" s="69"/>
      <c r="E29" s="69" t="str">
        <f t="shared" si="0"/>
        <v>00109130</v>
      </c>
      <c r="G29" s="34">
        <f t="shared" si="5"/>
        <v>0</v>
      </c>
      <c r="H29" s="43"/>
      <c r="I29" s="34">
        <f t="shared" si="6"/>
        <v>0</v>
      </c>
      <c r="J29" s="43"/>
      <c r="K29" s="45">
        <v>5000</v>
      </c>
      <c r="L29" s="43"/>
      <c r="M29" s="234">
        <v>5000</v>
      </c>
      <c r="N29" s="45"/>
      <c r="O29" s="113">
        <f t="shared" si="7"/>
        <v>5000</v>
      </c>
      <c r="Q29" s="113">
        <f t="shared" si="8"/>
        <v>5000</v>
      </c>
    </row>
    <row r="30" spans="1:17" ht="13.5" customHeight="1" x14ac:dyDescent="0.25">
      <c r="A30" s="60" t="s">
        <v>137</v>
      </c>
      <c r="B30" s="93" t="s">
        <v>189</v>
      </c>
      <c r="C30" s="69"/>
      <c r="D30" s="69"/>
      <c r="E30" s="69" t="str">
        <f t="shared" si="0"/>
        <v>00109130</v>
      </c>
      <c r="G30" s="34">
        <f t="shared" si="5"/>
        <v>0</v>
      </c>
      <c r="H30" s="43"/>
      <c r="I30" s="34">
        <f t="shared" si="6"/>
        <v>0</v>
      </c>
      <c r="J30" s="43"/>
      <c r="K30" s="45">
        <v>5000</v>
      </c>
      <c r="L30" s="43"/>
      <c r="M30" s="234">
        <v>5000</v>
      </c>
      <c r="N30" s="45"/>
      <c r="O30" s="113">
        <f t="shared" si="7"/>
        <v>5000</v>
      </c>
      <c r="Q30" s="113">
        <f t="shared" si="8"/>
        <v>5000</v>
      </c>
    </row>
    <row r="31" spans="1:17" ht="13.5" customHeight="1" x14ac:dyDescent="0.25">
      <c r="A31" s="40" t="s">
        <v>139</v>
      </c>
      <c r="B31" s="93" t="s">
        <v>189</v>
      </c>
      <c r="C31" s="69">
        <v>504675</v>
      </c>
      <c r="D31" s="69"/>
      <c r="E31" s="69" t="str">
        <f t="shared" si="0"/>
        <v>00109130504675</v>
      </c>
      <c r="G31" s="34">
        <f t="shared" si="5"/>
        <v>5622</v>
      </c>
      <c r="H31" s="43"/>
      <c r="I31" s="34">
        <f t="shared" si="6"/>
        <v>2993</v>
      </c>
      <c r="J31" s="43"/>
      <c r="K31" s="45">
        <v>6000</v>
      </c>
      <c r="L31" s="43"/>
      <c r="M31" s="234">
        <v>6000</v>
      </c>
      <c r="N31" s="45"/>
      <c r="O31" s="113">
        <f t="shared" si="7"/>
        <v>6000</v>
      </c>
      <c r="Q31" s="113">
        <f t="shared" si="8"/>
        <v>6000</v>
      </c>
    </row>
    <row r="32" spans="1:17" ht="13.5" customHeight="1" x14ac:dyDescent="0.25">
      <c r="A32" s="40" t="s">
        <v>140</v>
      </c>
      <c r="B32" s="93" t="s">
        <v>189</v>
      </c>
      <c r="C32" s="69">
        <v>504683</v>
      </c>
      <c r="D32" s="69"/>
      <c r="E32" s="69" t="str">
        <f t="shared" si="0"/>
        <v>00109130504683</v>
      </c>
      <c r="G32" s="34">
        <f t="shared" si="5"/>
        <v>0</v>
      </c>
      <c r="H32" s="43"/>
      <c r="I32" s="34">
        <f t="shared" si="6"/>
        <v>2946</v>
      </c>
      <c r="J32" s="43"/>
      <c r="K32" s="45"/>
      <c r="L32" s="43"/>
      <c r="M32" s="234"/>
      <c r="N32" s="45"/>
      <c r="O32" s="113"/>
      <c r="Q32" s="113"/>
    </row>
    <row r="33" spans="1:17" ht="13.5" customHeight="1" x14ac:dyDescent="0.25">
      <c r="A33" s="60" t="s">
        <v>141</v>
      </c>
      <c r="B33" s="93" t="s">
        <v>189</v>
      </c>
      <c r="C33" s="69"/>
      <c r="D33" s="69"/>
      <c r="E33" s="69" t="str">
        <f t="shared" si="0"/>
        <v>00109130</v>
      </c>
      <c r="G33" s="34">
        <f t="shared" si="5"/>
        <v>0</v>
      </c>
      <c r="H33" s="43"/>
      <c r="I33" s="34">
        <f t="shared" si="6"/>
        <v>0</v>
      </c>
      <c r="J33" s="43"/>
      <c r="K33" s="45">
        <v>2000</v>
      </c>
      <c r="L33" s="43"/>
      <c r="M33" s="234">
        <v>2000</v>
      </c>
      <c r="N33" s="45"/>
      <c r="O33" s="113">
        <f t="shared" si="7"/>
        <v>2000</v>
      </c>
      <c r="Q33" s="113">
        <f t="shared" si="8"/>
        <v>2000</v>
      </c>
    </row>
    <row r="34" spans="1:17" ht="13.5" customHeight="1" x14ac:dyDescent="0.25">
      <c r="A34" s="40" t="s">
        <v>142</v>
      </c>
      <c r="B34" s="93" t="s">
        <v>189</v>
      </c>
      <c r="C34" s="69">
        <v>504699</v>
      </c>
      <c r="D34" s="69"/>
      <c r="E34" s="69" t="str">
        <f t="shared" si="0"/>
        <v>00109130504699</v>
      </c>
      <c r="G34" s="34">
        <f t="shared" si="5"/>
        <v>148</v>
      </c>
      <c r="H34" s="43"/>
      <c r="I34" s="34">
        <f t="shared" si="6"/>
        <v>385</v>
      </c>
      <c r="J34" s="43"/>
      <c r="K34" s="45">
        <v>4000</v>
      </c>
      <c r="L34" s="43"/>
      <c r="M34" s="234">
        <v>4000</v>
      </c>
      <c r="N34" s="45"/>
      <c r="O34" s="113">
        <f t="shared" si="7"/>
        <v>4000</v>
      </c>
      <c r="Q34" s="113">
        <f t="shared" si="8"/>
        <v>4000</v>
      </c>
    </row>
    <row r="35" spans="1:17" ht="13.5" customHeight="1" x14ac:dyDescent="0.25">
      <c r="A35" s="40" t="s">
        <v>194</v>
      </c>
      <c r="B35" s="93" t="s">
        <v>189</v>
      </c>
      <c r="C35" s="69">
        <v>504710</v>
      </c>
      <c r="D35" s="69"/>
      <c r="E35" s="69" t="str">
        <f t="shared" si="0"/>
        <v>00109130504710</v>
      </c>
      <c r="G35" s="34">
        <f t="shared" si="5"/>
        <v>0</v>
      </c>
      <c r="H35" s="43"/>
      <c r="I35" s="34">
        <f t="shared" si="6"/>
        <v>0</v>
      </c>
      <c r="J35" s="43"/>
      <c r="K35" s="45">
        <v>0</v>
      </c>
      <c r="L35" s="43"/>
      <c r="M35" s="234">
        <v>0</v>
      </c>
      <c r="N35" s="45"/>
      <c r="O35" s="113">
        <f t="shared" si="7"/>
        <v>0</v>
      </c>
      <c r="Q35" s="113">
        <f t="shared" si="8"/>
        <v>0</v>
      </c>
    </row>
    <row r="36" spans="1:17" ht="13.5" customHeight="1" x14ac:dyDescent="0.25">
      <c r="A36" s="40" t="s">
        <v>69</v>
      </c>
      <c r="B36" s="93" t="s">
        <v>189</v>
      </c>
      <c r="C36" s="69">
        <v>505201</v>
      </c>
      <c r="D36" s="69"/>
      <c r="E36" s="69" t="str">
        <f t="shared" si="0"/>
        <v>00109130505201</v>
      </c>
      <c r="G36" s="34">
        <f t="shared" si="5"/>
        <v>0</v>
      </c>
      <c r="H36" s="43"/>
      <c r="I36" s="34">
        <f t="shared" si="6"/>
        <v>0</v>
      </c>
      <c r="J36" s="43"/>
      <c r="K36" s="45">
        <v>0</v>
      </c>
      <c r="L36" s="43"/>
      <c r="M36" s="234">
        <v>0</v>
      </c>
      <c r="N36" s="45"/>
      <c r="O36" s="113">
        <f t="shared" si="7"/>
        <v>0</v>
      </c>
      <c r="Q36" s="113">
        <f t="shared" si="8"/>
        <v>0</v>
      </c>
    </row>
    <row r="37" spans="1:17" ht="13.5" customHeight="1" x14ac:dyDescent="0.25">
      <c r="A37" s="40" t="s">
        <v>143</v>
      </c>
      <c r="B37" s="93" t="s">
        <v>189</v>
      </c>
      <c r="C37" s="69">
        <v>505505</v>
      </c>
      <c r="D37" s="69"/>
      <c r="E37" s="69" t="str">
        <f t="shared" si="0"/>
        <v>00109130505505</v>
      </c>
      <c r="G37" s="34">
        <f t="shared" si="5"/>
        <v>0</v>
      </c>
      <c r="H37" s="43"/>
      <c r="I37" s="34">
        <f t="shared" si="6"/>
        <v>0</v>
      </c>
      <c r="J37" s="43"/>
      <c r="K37" s="45">
        <v>0</v>
      </c>
      <c r="L37" s="43"/>
      <c r="M37" s="234">
        <v>0</v>
      </c>
      <c r="N37" s="45"/>
      <c r="O37" s="113">
        <f t="shared" si="7"/>
        <v>0</v>
      </c>
      <c r="Q37" s="113">
        <f t="shared" si="8"/>
        <v>0</v>
      </c>
    </row>
    <row r="38" spans="1:17" ht="13.5" customHeight="1" x14ac:dyDescent="0.25">
      <c r="A38" s="40" t="s">
        <v>144</v>
      </c>
      <c r="B38" s="93" t="s">
        <v>189</v>
      </c>
      <c r="C38" s="69">
        <v>505532</v>
      </c>
      <c r="D38" s="69"/>
      <c r="E38" s="69" t="str">
        <f t="shared" si="0"/>
        <v>00109130505532</v>
      </c>
      <c r="G38" s="34">
        <f t="shared" si="5"/>
        <v>0</v>
      </c>
      <c r="H38" s="43"/>
      <c r="I38" s="34">
        <f t="shared" si="6"/>
        <v>0</v>
      </c>
      <c r="J38" s="43"/>
      <c r="K38" s="45">
        <v>0</v>
      </c>
      <c r="L38" s="43"/>
      <c r="M38" s="234">
        <v>0</v>
      </c>
      <c r="N38" s="45"/>
      <c r="O38" s="113">
        <f t="shared" si="7"/>
        <v>0</v>
      </c>
      <c r="Q38" s="113">
        <f t="shared" si="8"/>
        <v>0</v>
      </c>
    </row>
    <row r="39" spans="1:17" ht="13.5" customHeight="1" x14ac:dyDescent="0.25">
      <c r="A39" s="40" t="s">
        <v>145</v>
      </c>
      <c r="B39" s="93" t="s">
        <v>189</v>
      </c>
      <c r="C39" s="69">
        <v>505540</v>
      </c>
      <c r="D39" s="69"/>
      <c r="E39" s="69" t="str">
        <f t="shared" si="0"/>
        <v>00109130505540</v>
      </c>
      <c r="G39" s="34">
        <f t="shared" si="5"/>
        <v>0</v>
      </c>
      <c r="H39" s="43"/>
      <c r="I39" s="34">
        <f t="shared" si="6"/>
        <v>0</v>
      </c>
      <c r="J39" s="43"/>
      <c r="K39" s="45">
        <v>0</v>
      </c>
      <c r="L39" s="43"/>
      <c r="M39" s="234">
        <v>0</v>
      </c>
      <c r="N39" s="45"/>
      <c r="O39" s="113">
        <f t="shared" si="7"/>
        <v>0</v>
      </c>
      <c r="Q39" s="113">
        <f t="shared" si="8"/>
        <v>0</v>
      </c>
    </row>
    <row r="40" spans="1:17" ht="13.5" customHeight="1" x14ac:dyDescent="0.25">
      <c r="A40" s="40" t="s">
        <v>72</v>
      </c>
      <c r="B40" s="93" t="s">
        <v>189</v>
      </c>
      <c r="C40" s="69">
        <v>505550</v>
      </c>
      <c r="D40" s="69"/>
      <c r="E40" s="69" t="str">
        <f t="shared" si="0"/>
        <v>00109130505550</v>
      </c>
      <c r="G40" s="34">
        <f t="shared" si="5"/>
        <v>0</v>
      </c>
      <c r="H40" s="43"/>
      <c r="I40" s="34">
        <f t="shared" si="6"/>
        <v>0</v>
      </c>
      <c r="J40" s="43"/>
      <c r="K40" s="45">
        <v>0</v>
      </c>
      <c r="L40" s="43"/>
      <c r="M40" s="234">
        <v>0</v>
      </c>
      <c r="N40" s="45"/>
      <c r="O40" s="113">
        <f t="shared" si="7"/>
        <v>0</v>
      </c>
      <c r="Q40" s="113">
        <f t="shared" si="8"/>
        <v>0</v>
      </c>
    </row>
    <row r="41" spans="1:17" ht="13.5" customHeight="1" x14ac:dyDescent="0.25">
      <c r="A41" s="40" t="s">
        <v>147</v>
      </c>
      <c r="B41" s="93" t="s">
        <v>189</v>
      </c>
      <c r="C41" s="69">
        <v>505750</v>
      </c>
      <c r="D41" s="69"/>
      <c r="E41" s="69" t="str">
        <f t="shared" si="0"/>
        <v>00109130505750</v>
      </c>
      <c r="G41" s="34">
        <f t="shared" si="5"/>
        <v>1100</v>
      </c>
      <c r="H41" s="67"/>
      <c r="I41" s="34">
        <f t="shared" si="6"/>
        <v>0</v>
      </c>
      <c r="J41" s="67"/>
      <c r="K41" s="45">
        <v>1300</v>
      </c>
      <c r="L41" s="67"/>
      <c r="M41" s="234">
        <v>1300</v>
      </c>
      <c r="N41" s="45"/>
      <c r="O41" s="113">
        <f t="shared" si="7"/>
        <v>1300</v>
      </c>
      <c r="Q41" s="113">
        <f t="shared" si="8"/>
        <v>1300</v>
      </c>
    </row>
    <row r="42" spans="1:17" ht="13.5" customHeight="1" x14ac:dyDescent="0.25">
      <c r="A42" s="40" t="s">
        <v>74</v>
      </c>
      <c r="B42" s="93" t="s">
        <v>189</v>
      </c>
      <c r="C42" s="69">
        <v>505801</v>
      </c>
      <c r="D42" s="69"/>
      <c r="E42" s="69" t="str">
        <f t="shared" si="0"/>
        <v>00109130505801</v>
      </c>
      <c r="G42" s="34">
        <f t="shared" si="5"/>
        <v>0</v>
      </c>
      <c r="H42" s="43"/>
      <c r="I42" s="34">
        <f t="shared" si="6"/>
        <v>0</v>
      </c>
      <c r="J42" s="43"/>
      <c r="K42" s="72">
        <v>0</v>
      </c>
      <c r="L42" s="43"/>
      <c r="M42" s="237">
        <v>0</v>
      </c>
      <c r="N42" s="39"/>
      <c r="O42" s="114">
        <f t="shared" si="7"/>
        <v>0</v>
      </c>
      <c r="Q42" s="113">
        <f t="shared" si="8"/>
        <v>0</v>
      </c>
    </row>
    <row r="43" spans="1:17" ht="13.5" customHeight="1" x14ac:dyDescent="0.25">
      <c r="A43" s="40"/>
      <c r="B43" s="70"/>
      <c r="C43" s="69"/>
      <c r="D43" s="69"/>
      <c r="E43" s="69"/>
      <c r="G43" s="72"/>
      <c r="H43" s="43"/>
      <c r="I43" s="72"/>
      <c r="J43" s="43"/>
      <c r="K43" s="72"/>
      <c r="L43" s="43"/>
      <c r="M43" s="72"/>
      <c r="N43" s="39"/>
      <c r="O43" s="114"/>
      <c r="Q43" s="113"/>
    </row>
    <row r="44" spans="1:17" ht="24" customHeight="1" x14ac:dyDescent="0.25">
      <c r="A44" s="49" t="s">
        <v>75</v>
      </c>
      <c r="B44" s="50"/>
      <c r="C44" s="42"/>
      <c r="D44" s="42"/>
      <c r="E44" s="42"/>
      <c r="F44" s="42" t="s">
        <v>19</v>
      </c>
      <c r="G44" s="98">
        <f>SUM(G24:G43)</f>
        <v>12005</v>
      </c>
      <c r="H44" s="43" t="s">
        <v>19</v>
      </c>
      <c r="I44" s="98">
        <f>SUM(I24:I43)</f>
        <v>19042</v>
      </c>
      <c r="J44" s="43" t="s">
        <v>19</v>
      </c>
      <c r="K44" s="98">
        <f>SUM(K24:K43)</f>
        <v>29700</v>
      </c>
      <c r="L44" s="43" t="s">
        <v>19</v>
      </c>
      <c r="M44" s="98">
        <f>SUM(M24:M43)</f>
        <v>29700</v>
      </c>
      <c r="N44" s="43" t="s">
        <v>19</v>
      </c>
      <c r="O44" s="98">
        <f>SUM(O24:O43)</f>
        <v>29700</v>
      </c>
      <c r="P44" s="43" t="s">
        <v>19</v>
      </c>
      <c r="Q44" s="98">
        <f>SUM(Q24:Q43)</f>
        <v>29700</v>
      </c>
    </row>
    <row r="45" spans="1:17" ht="24" customHeight="1" thickBot="1" x14ac:dyDescent="0.3">
      <c r="A45" s="99" t="s">
        <v>76</v>
      </c>
      <c r="F45" s="42" t="s">
        <v>19</v>
      </c>
      <c r="G45" s="109">
        <f>G19+G44</f>
        <v>12005</v>
      </c>
      <c r="H45" s="43" t="s">
        <v>19</v>
      </c>
      <c r="I45" s="109">
        <f>I19+I44</f>
        <v>19042</v>
      </c>
      <c r="J45" s="43" t="s">
        <v>19</v>
      </c>
      <c r="K45" s="109">
        <f>K19+K44</f>
        <v>29700</v>
      </c>
      <c r="L45" s="43" t="s">
        <v>19</v>
      </c>
      <c r="M45" s="109">
        <f>M19+M44</f>
        <v>29700</v>
      </c>
      <c r="N45" s="39" t="s">
        <v>19</v>
      </c>
      <c r="O45" s="109">
        <f>O19+O44</f>
        <v>29700</v>
      </c>
      <c r="P45" s="39" t="s">
        <v>19</v>
      </c>
      <c r="Q45" s="109">
        <f>Q19+Q44</f>
        <v>29700</v>
      </c>
    </row>
    <row r="46" spans="1:17" ht="15.75" thickTop="1" x14ac:dyDescent="0.25">
      <c r="A46" s="16"/>
      <c r="B46" s="17"/>
      <c r="C46" s="16"/>
      <c r="D46" s="16"/>
      <c r="E46" s="16"/>
      <c r="F46" s="6"/>
      <c r="G46" s="36"/>
      <c r="H46" s="6"/>
      <c r="I46" s="36"/>
      <c r="J46" s="6"/>
      <c r="K46" s="36"/>
      <c r="L46" s="6"/>
      <c r="M46" s="36"/>
      <c r="N46" s="53"/>
      <c r="O46" s="36"/>
      <c r="Q46" s="36"/>
    </row>
    <row r="47" spans="1:17" hidden="1" x14ac:dyDescent="0.25">
      <c r="G47" s="45"/>
      <c r="I47" s="45"/>
      <c r="M47" s="45"/>
      <c r="O47" s="15"/>
      <c r="Q47" s="45"/>
    </row>
    <row r="48" spans="1:17" hidden="1" x14ac:dyDescent="0.25">
      <c r="A48" s="28" t="s">
        <v>77</v>
      </c>
      <c r="G48" s="76">
        <v>12004</v>
      </c>
      <c r="I48" s="76">
        <v>19042</v>
      </c>
      <c r="K48" s="44"/>
      <c r="M48" s="44"/>
      <c r="O48" s="44"/>
      <c r="Q48" s="44"/>
    </row>
    <row r="49" spans="1:17" hidden="1" x14ac:dyDescent="0.25">
      <c r="A49" s="28" t="s">
        <v>78</v>
      </c>
      <c r="G49" s="44">
        <f>G45-G48</f>
        <v>1</v>
      </c>
      <c r="H49" s="43"/>
      <c r="I49" s="44">
        <f>I45-I48</f>
        <v>0</v>
      </c>
      <c r="K49" s="86"/>
      <c r="M49" s="86"/>
      <c r="Q49" s="86"/>
    </row>
    <row r="50" spans="1:17" hidden="1" x14ac:dyDescent="0.25">
      <c r="G50" s="86"/>
      <c r="I50" s="86"/>
      <c r="K50" s="86"/>
      <c r="M50" s="86"/>
      <c r="Q50" s="86"/>
    </row>
    <row r="51" spans="1:17" hidden="1" x14ac:dyDescent="0.25">
      <c r="G51" s="86"/>
      <c r="I51" s="86"/>
      <c r="K51" s="86"/>
      <c r="M51" s="86"/>
      <c r="Q51" s="86"/>
    </row>
    <row r="52" spans="1:17" hidden="1" x14ac:dyDescent="0.25">
      <c r="B52" s="29" t="s">
        <v>79</v>
      </c>
      <c r="C52" s="15" t="s">
        <v>80</v>
      </c>
      <c r="G52" s="77" t="s">
        <v>81</v>
      </c>
      <c r="I52" s="86"/>
      <c r="K52" s="86"/>
      <c r="M52" s="86"/>
      <c r="Q52" s="86"/>
    </row>
    <row r="53" spans="1:17" hidden="1" x14ac:dyDescent="0.25">
      <c r="A53" s="15" t="s">
        <v>195</v>
      </c>
      <c r="B53" s="29">
        <v>0</v>
      </c>
      <c r="C53" s="15">
        <v>0</v>
      </c>
      <c r="G53" s="15" t="str">
        <f>VLOOKUP(A53,E:E,1,FALSE)</f>
        <v>00109130501201</v>
      </c>
      <c r="I53" s="86"/>
      <c r="K53" s="86"/>
      <c r="M53" s="86"/>
      <c r="Q53" s="86"/>
    </row>
    <row r="54" spans="1:17" hidden="1" x14ac:dyDescent="0.25">
      <c r="A54" s="15" t="s">
        <v>196</v>
      </c>
      <c r="B54" s="29">
        <v>0</v>
      </c>
      <c r="C54" s="15">
        <v>0</v>
      </c>
      <c r="G54" s="15" t="str">
        <f t="shared" ref="G54:G79" si="9">VLOOKUP(A54,E:E,1,FALSE)</f>
        <v>00109130501400</v>
      </c>
      <c r="I54" s="86"/>
      <c r="K54" s="86"/>
      <c r="M54" s="86"/>
      <c r="Q54" s="86"/>
    </row>
    <row r="55" spans="1:17" hidden="1" x14ac:dyDescent="0.25">
      <c r="A55" s="15" t="s">
        <v>197</v>
      </c>
      <c r="B55" s="29">
        <v>0</v>
      </c>
      <c r="C55" s="15">
        <v>0</v>
      </c>
      <c r="G55" s="15" t="str">
        <f t="shared" si="9"/>
        <v>00109130501800</v>
      </c>
      <c r="I55" s="86"/>
      <c r="K55" s="86"/>
      <c r="M55" s="86"/>
      <c r="Q55" s="86"/>
    </row>
    <row r="56" spans="1:17" hidden="1" x14ac:dyDescent="0.25">
      <c r="A56" s="15" t="s">
        <v>198</v>
      </c>
      <c r="B56" s="29">
        <v>0</v>
      </c>
      <c r="C56" s="15">
        <v>0</v>
      </c>
      <c r="G56" s="15" t="str">
        <f t="shared" si="9"/>
        <v>00109130502100</v>
      </c>
      <c r="I56" s="86"/>
      <c r="K56" s="86"/>
      <c r="M56" s="86"/>
      <c r="Q56" s="86"/>
    </row>
    <row r="57" spans="1:17" hidden="1" x14ac:dyDescent="0.25">
      <c r="A57" s="15" t="s">
        <v>199</v>
      </c>
      <c r="B57" s="29">
        <v>0</v>
      </c>
      <c r="C57" s="15">
        <v>0</v>
      </c>
      <c r="G57" s="15" t="str">
        <f t="shared" si="9"/>
        <v>00109130502200</v>
      </c>
      <c r="I57" s="86"/>
      <c r="K57" s="86"/>
      <c r="M57" s="86"/>
      <c r="Q57" s="86"/>
    </row>
    <row r="58" spans="1:17" hidden="1" x14ac:dyDescent="0.25">
      <c r="A58" s="15" t="s">
        <v>200</v>
      </c>
      <c r="B58" s="29">
        <v>0</v>
      </c>
      <c r="C58" s="15">
        <v>0</v>
      </c>
      <c r="G58" s="15" t="str">
        <f t="shared" si="9"/>
        <v>00109130502300</v>
      </c>
      <c r="I58" s="86"/>
      <c r="K58" s="86"/>
      <c r="M58" s="86"/>
      <c r="Q58" s="86"/>
    </row>
    <row r="59" spans="1:17" hidden="1" x14ac:dyDescent="0.25">
      <c r="A59" s="15" t="s">
        <v>201</v>
      </c>
      <c r="B59" s="29">
        <v>0</v>
      </c>
      <c r="C59" s="15">
        <v>0</v>
      </c>
      <c r="G59" s="15" t="str">
        <f t="shared" si="9"/>
        <v>00109130502400</v>
      </c>
      <c r="I59" s="86"/>
      <c r="K59" s="86"/>
      <c r="M59" s="86"/>
      <c r="Q59" s="86"/>
    </row>
    <row r="60" spans="1:17" hidden="1" x14ac:dyDescent="0.25">
      <c r="A60" s="15" t="s">
        <v>202</v>
      </c>
      <c r="B60" s="29">
        <v>0</v>
      </c>
      <c r="C60" s="15">
        <v>0</v>
      </c>
      <c r="G60" s="15" t="str">
        <f t="shared" si="9"/>
        <v>00109130503140</v>
      </c>
      <c r="I60" s="86"/>
      <c r="K60" s="86"/>
      <c r="M60" s="86"/>
      <c r="Q60" s="86"/>
    </row>
    <row r="61" spans="1:17" hidden="1" x14ac:dyDescent="0.25">
      <c r="A61" s="15" t="s">
        <v>203</v>
      </c>
      <c r="B61" s="29">
        <v>0</v>
      </c>
      <c r="C61" s="15">
        <v>0</v>
      </c>
      <c r="G61" s="15" t="str">
        <f t="shared" si="9"/>
        <v>00109130503499</v>
      </c>
      <c r="I61" s="15"/>
      <c r="K61" s="86"/>
      <c r="M61" s="86"/>
      <c r="Q61" s="86"/>
    </row>
    <row r="62" spans="1:17" hidden="1" x14ac:dyDescent="0.25">
      <c r="A62" s="15" t="s">
        <v>204</v>
      </c>
      <c r="B62" s="29">
        <v>2293.1999999999998</v>
      </c>
      <c r="C62" s="15">
        <v>0</v>
      </c>
      <c r="G62" s="15" t="str">
        <f t="shared" si="9"/>
        <v>00109130504601</v>
      </c>
      <c r="I62" s="15"/>
      <c r="K62" s="86"/>
      <c r="M62" s="86"/>
      <c r="Q62" s="86"/>
    </row>
    <row r="63" spans="1:17" hidden="1" x14ac:dyDescent="0.25">
      <c r="A63" s="15" t="s">
        <v>205</v>
      </c>
      <c r="B63" s="29">
        <v>2573.8200000000002</v>
      </c>
      <c r="C63" s="15">
        <v>2745</v>
      </c>
      <c r="G63" s="15" t="str">
        <f t="shared" si="9"/>
        <v>00109130504602</v>
      </c>
      <c r="I63" s="15"/>
      <c r="K63" s="86"/>
      <c r="M63" s="86"/>
      <c r="Q63" s="86"/>
    </row>
    <row r="64" spans="1:17" hidden="1" x14ac:dyDescent="0.25">
      <c r="A64" s="15" t="s">
        <v>206</v>
      </c>
      <c r="B64" s="29">
        <v>7850.73</v>
      </c>
      <c r="C64" s="15">
        <v>2390</v>
      </c>
      <c r="G64" s="15" t="str">
        <f t="shared" si="9"/>
        <v>00109130504620</v>
      </c>
      <c r="I64" s="15"/>
      <c r="K64" s="86"/>
      <c r="M64" s="86"/>
      <c r="Q64" s="86"/>
    </row>
    <row r="65" spans="1:17" hidden="1" x14ac:dyDescent="0.25">
      <c r="A65" s="15" t="s">
        <v>207</v>
      </c>
      <c r="B65" s="29">
        <v>2992.84</v>
      </c>
      <c r="C65" s="15">
        <v>5621.56</v>
      </c>
      <c r="G65" s="15" t="str">
        <f t="shared" si="9"/>
        <v>00109130504675</v>
      </c>
      <c r="I65" s="15"/>
      <c r="K65" s="86"/>
      <c r="M65" s="86"/>
      <c r="Q65" s="86"/>
    </row>
    <row r="66" spans="1:17" hidden="1" x14ac:dyDescent="0.25">
      <c r="A66" s="15" t="s">
        <v>208</v>
      </c>
      <c r="B66" s="29">
        <v>2946.22</v>
      </c>
      <c r="C66" s="15">
        <v>0</v>
      </c>
      <c r="G66" s="15" t="str">
        <f t="shared" si="9"/>
        <v>00109130504683</v>
      </c>
      <c r="I66" s="15"/>
      <c r="K66" s="86"/>
      <c r="M66" s="86"/>
      <c r="Q66" s="86"/>
    </row>
    <row r="67" spans="1:17" hidden="1" x14ac:dyDescent="0.25">
      <c r="A67" s="15" t="s">
        <v>209</v>
      </c>
      <c r="B67" s="29">
        <v>385.26</v>
      </c>
      <c r="C67" s="15">
        <v>148.01</v>
      </c>
      <c r="G67" s="15" t="str">
        <f t="shared" si="9"/>
        <v>00109130504699</v>
      </c>
      <c r="I67" s="15"/>
      <c r="K67" s="86"/>
      <c r="M67" s="86"/>
      <c r="Q67" s="86"/>
    </row>
    <row r="68" spans="1:17" hidden="1" x14ac:dyDescent="0.25">
      <c r="A68" s="15" t="s">
        <v>210</v>
      </c>
      <c r="B68" s="29">
        <v>0</v>
      </c>
      <c r="C68" s="15">
        <v>0</v>
      </c>
      <c r="G68" s="15" t="str">
        <f t="shared" si="9"/>
        <v>00109130504710</v>
      </c>
      <c r="I68" s="15"/>
      <c r="K68" s="86"/>
      <c r="M68" s="86"/>
      <c r="Q68" s="86"/>
    </row>
    <row r="69" spans="1:17" hidden="1" x14ac:dyDescent="0.25">
      <c r="A69" s="15" t="s">
        <v>211</v>
      </c>
      <c r="B69" s="29">
        <v>0</v>
      </c>
      <c r="C69" s="15">
        <v>0</v>
      </c>
      <c r="G69" s="15" t="e">
        <f t="shared" si="9"/>
        <v>#N/A</v>
      </c>
      <c r="I69" s="15"/>
      <c r="K69" s="86"/>
      <c r="M69" s="86"/>
      <c r="Q69" s="86"/>
    </row>
    <row r="70" spans="1:17" hidden="1" x14ac:dyDescent="0.25">
      <c r="A70" s="15" t="s">
        <v>212</v>
      </c>
      <c r="B70" s="29">
        <v>0</v>
      </c>
      <c r="C70" s="15">
        <v>0</v>
      </c>
      <c r="G70" s="15" t="str">
        <f t="shared" si="9"/>
        <v>00109130505201</v>
      </c>
      <c r="I70" s="15"/>
      <c r="K70" s="86"/>
      <c r="M70" s="86"/>
      <c r="Q70" s="86"/>
    </row>
    <row r="71" spans="1:17" hidden="1" x14ac:dyDescent="0.25">
      <c r="A71" s="15" t="s">
        <v>213</v>
      </c>
      <c r="B71" s="29">
        <v>0</v>
      </c>
      <c r="C71" s="15">
        <v>0</v>
      </c>
      <c r="G71" s="15" t="str">
        <f t="shared" si="9"/>
        <v>00109130505505</v>
      </c>
      <c r="I71" s="15"/>
      <c r="K71" s="86"/>
      <c r="M71" s="86"/>
      <c r="Q71" s="86"/>
    </row>
    <row r="72" spans="1:17" hidden="1" x14ac:dyDescent="0.25">
      <c r="A72" s="15" t="s">
        <v>214</v>
      </c>
      <c r="B72" s="29">
        <v>0</v>
      </c>
      <c r="C72" s="15">
        <v>0</v>
      </c>
      <c r="G72" s="15" t="str">
        <f t="shared" si="9"/>
        <v>00109130505532</v>
      </c>
      <c r="I72" s="15"/>
      <c r="K72" s="86"/>
      <c r="M72" s="86"/>
      <c r="Q72" s="86"/>
    </row>
    <row r="73" spans="1:17" hidden="1" x14ac:dyDescent="0.25">
      <c r="A73" s="15" t="s">
        <v>215</v>
      </c>
      <c r="B73" s="29">
        <v>0</v>
      </c>
      <c r="C73" s="15">
        <v>0</v>
      </c>
      <c r="G73" s="15" t="str">
        <f t="shared" si="9"/>
        <v>00109130505540</v>
      </c>
      <c r="I73" s="15"/>
      <c r="K73" s="86"/>
      <c r="M73" s="86"/>
      <c r="Q73" s="86"/>
    </row>
    <row r="74" spans="1:17" hidden="1" x14ac:dyDescent="0.25">
      <c r="A74" s="15" t="s">
        <v>216</v>
      </c>
      <c r="B74" s="29">
        <v>0</v>
      </c>
      <c r="C74" s="15">
        <v>0</v>
      </c>
      <c r="G74" s="15" t="str">
        <f t="shared" si="9"/>
        <v>00109130505550</v>
      </c>
      <c r="I74" s="15"/>
      <c r="K74" s="86"/>
      <c r="M74" s="86"/>
      <c r="Q74" s="86"/>
    </row>
    <row r="75" spans="1:17" hidden="1" x14ac:dyDescent="0.25">
      <c r="A75" s="15" t="s">
        <v>217</v>
      </c>
      <c r="B75" s="29">
        <v>0</v>
      </c>
      <c r="C75" s="15">
        <v>1099.9000000000001</v>
      </c>
      <c r="G75" s="15" t="str">
        <f t="shared" si="9"/>
        <v>00109130505750</v>
      </c>
      <c r="I75" s="15"/>
      <c r="K75" s="86"/>
      <c r="M75" s="86"/>
      <c r="Q75" s="86"/>
    </row>
    <row r="76" spans="1:17" hidden="1" x14ac:dyDescent="0.25">
      <c r="A76" s="15" t="s">
        <v>218</v>
      </c>
      <c r="B76" s="29">
        <v>0</v>
      </c>
      <c r="C76" s="15">
        <v>0</v>
      </c>
      <c r="G76" s="15" t="str">
        <f t="shared" si="9"/>
        <v>00109130505801</v>
      </c>
      <c r="I76" s="15"/>
      <c r="K76" s="86"/>
      <c r="M76" s="86"/>
      <c r="Q76" s="86"/>
    </row>
    <row r="77" spans="1:17" hidden="1" x14ac:dyDescent="0.25">
      <c r="A77" s="15" t="s">
        <v>219</v>
      </c>
      <c r="B77" s="29">
        <v>0</v>
      </c>
      <c r="C77" s="15">
        <v>0</v>
      </c>
      <c r="G77" s="15" t="e">
        <f t="shared" si="9"/>
        <v>#N/A</v>
      </c>
      <c r="I77" s="15"/>
      <c r="K77" s="86"/>
      <c r="M77" s="86"/>
      <c r="Q77" s="86"/>
    </row>
    <row r="78" spans="1:17" hidden="1" x14ac:dyDescent="0.25">
      <c r="A78" s="15" t="s">
        <v>220</v>
      </c>
      <c r="B78" s="29">
        <v>0</v>
      </c>
      <c r="C78" s="15">
        <v>0</v>
      </c>
      <c r="G78" s="15" t="e">
        <f t="shared" si="9"/>
        <v>#N/A</v>
      </c>
      <c r="I78" s="15"/>
      <c r="K78" s="86"/>
      <c r="M78" s="86"/>
      <c r="Q78" s="86"/>
    </row>
    <row r="79" spans="1:17" hidden="1" x14ac:dyDescent="0.25">
      <c r="A79" s="15" t="s">
        <v>221</v>
      </c>
      <c r="B79" s="29">
        <v>0</v>
      </c>
      <c r="C79" s="15">
        <v>0</v>
      </c>
      <c r="G79" s="15" t="e">
        <f t="shared" si="9"/>
        <v>#N/A</v>
      </c>
      <c r="I79" s="15"/>
      <c r="O79" s="15"/>
    </row>
    <row r="80" spans="1:17" hidden="1" x14ac:dyDescent="0.25">
      <c r="G80" s="44"/>
      <c r="I80" s="15"/>
      <c r="O80" s="15"/>
    </row>
    <row r="81" spans="7:15" x14ac:dyDescent="0.25">
      <c r="G81" s="44"/>
      <c r="I81" s="15"/>
      <c r="O81" s="15"/>
    </row>
    <row r="82" spans="7:15" x14ac:dyDescent="0.25">
      <c r="O82" s="15"/>
    </row>
    <row r="83" spans="7:15" x14ac:dyDescent="0.25">
      <c r="O83" s="15"/>
    </row>
    <row r="84" spans="7:15" x14ac:dyDescent="0.25">
      <c r="O84" s="15"/>
    </row>
    <row r="85" spans="7:15" x14ac:dyDescent="0.25">
      <c r="O85" s="15"/>
    </row>
    <row r="86" spans="7:15" x14ac:dyDescent="0.25">
      <c r="O86" s="15"/>
    </row>
    <row r="87" spans="7:15" x14ac:dyDescent="0.25">
      <c r="O87" s="15"/>
    </row>
    <row r="88" spans="7:15" x14ac:dyDescent="0.25">
      <c r="O88" s="15"/>
    </row>
    <row r="89" spans="7:15" x14ac:dyDescent="0.25">
      <c r="O89" s="15"/>
    </row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13DD-5BD1-4535-8AF5-8BF1E98C9149}">
  <sheetPr>
    <tabColor rgb="FF9966FF"/>
    <pageSetUpPr autoPageBreaks="0"/>
  </sheetPr>
  <dimension ref="A1:U111"/>
  <sheetViews>
    <sheetView showGridLines="0" zoomScaleNormal="100" zoomScaleSheetLayoutView="100" workbookViewId="0">
      <pane ySplit="10" topLeftCell="A21" activePane="bottomLeft" state="frozen"/>
      <selection activeCell="R10" sqref="R10"/>
      <selection pane="bottomLeft" activeCell="M27" sqref="M27:M60"/>
    </sheetView>
  </sheetViews>
  <sheetFormatPr defaultColWidth="9.140625" defaultRowHeight="15" x14ac:dyDescent="0.25"/>
  <cols>
    <col min="1" max="1" width="35.28515625" style="15" customWidth="1"/>
    <col min="2" max="2" width="16.2851562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86" hidden="1" customWidth="1"/>
    <col min="16" max="16" width="1.7109375" style="2" hidden="1" customWidth="1"/>
    <col min="17" max="17" width="9.7109375" style="15" hidden="1" customWidth="1"/>
    <col min="18" max="18" width="26.7109375" customWidth="1"/>
    <col min="22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2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8"/>
      <c r="B3" s="80"/>
      <c r="C3" s="8"/>
      <c r="D3" s="8"/>
      <c r="G3" s="8"/>
      <c r="I3" s="81"/>
      <c r="K3" s="8"/>
      <c r="M3" s="8"/>
      <c r="N3" s="8"/>
      <c r="O3" s="82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2"/>
    </row>
    <row r="5" spans="1:18" ht="13.15" customHeight="1" x14ac:dyDescent="0.25">
      <c r="A5" s="83" t="s">
        <v>222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2"/>
    </row>
    <row r="6" spans="1:18" ht="13.15" customHeight="1" x14ac:dyDescent="0.25">
      <c r="A6" s="83" t="s">
        <v>223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2"/>
    </row>
    <row r="7" spans="1:18" ht="13.15" customHeight="1" x14ac:dyDescent="0.25">
      <c r="A7" s="115"/>
      <c r="B7" s="116"/>
      <c r="C7" s="115"/>
      <c r="D7" s="115"/>
      <c r="E7" s="117"/>
      <c r="F7" s="110"/>
      <c r="G7" s="115"/>
      <c r="H7" s="110"/>
      <c r="I7" s="118"/>
      <c r="J7" s="110"/>
      <c r="K7" s="115"/>
      <c r="L7" s="110"/>
      <c r="M7" s="115"/>
      <c r="Q7" s="115"/>
    </row>
    <row r="8" spans="1:18" x14ac:dyDescent="0.25">
      <c r="G8" s="18"/>
      <c r="H8" s="19"/>
      <c r="I8" s="20"/>
      <c r="J8" s="19"/>
      <c r="K8" s="18"/>
      <c r="L8" s="21" t="s">
        <v>4</v>
      </c>
      <c r="M8" s="22">
        <f>' 911 Admin'!M8</f>
        <v>2027</v>
      </c>
      <c r="N8" s="22"/>
      <c r="O8" s="22"/>
      <c r="P8" s="22"/>
      <c r="Q8" s="22"/>
    </row>
    <row r="9" spans="1:18" x14ac:dyDescent="0.25">
      <c r="C9" s="21"/>
      <c r="D9" s="21"/>
      <c r="E9" s="23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x14ac:dyDescent="0.25">
      <c r="B10" s="26" t="s">
        <v>8</v>
      </c>
      <c r="C10" s="26" t="s">
        <v>9</v>
      </c>
      <c r="D10" s="26" t="s">
        <v>10</v>
      </c>
      <c r="E10" s="23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3.5" customHeight="1" x14ac:dyDescent="0.25">
      <c r="A11" s="28" t="s">
        <v>16</v>
      </c>
      <c r="I11" s="15"/>
      <c r="M11" s="86"/>
      <c r="Q11" s="86"/>
    </row>
    <row r="12" spans="1:18" ht="13.5" customHeight="1" x14ac:dyDescent="0.25">
      <c r="A12" s="92" t="s">
        <v>120</v>
      </c>
      <c r="B12" s="93" t="s">
        <v>224</v>
      </c>
      <c r="C12" s="69">
        <v>501201</v>
      </c>
      <c r="D12" s="69"/>
      <c r="E12" s="94" t="str">
        <f>_xlfn.CONCAT(B12,C12,D12)</f>
        <v>00109140501201</v>
      </c>
      <c r="F12" s="42" t="s">
        <v>19</v>
      </c>
      <c r="G12" s="34">
        <f>ROUND(IFERROR(VLOOKUP(_xlfn.CONCAT($B12,$C12,$D12),$A$71:$C$9993,3,FALSE),0),0)</f>
        <v>0</v>
      </c>
      <c r="H12" s="43" t="s">
        <v>19</v>
      </c>
      <c r="I12" s="34">
        <f>ROUND(IFERROR(VLOOKUP(_xlfn.CONCAT($B12,$C12,$D12),$A$71:$C$9993,2,FALSE),0),0)</f>
        <v>0</v>
      </c>
      <c r="J12" s="43" t="s">
        <v>19</v>
      </c>
      <c r="K12" s="45">
        <v>0</v>
      </c>
      <c r="L12" s="43" t="s">
        <v>19</v>
      </c>
      <c r="M12" s="45">
        <f>'[1]Payroll Summary by Department'!C63</f>
        <v>0</v>
      </c>
      <c r="N12" s="39" t="s">
        <v>19</v>
      </c>
      <c r="O12" s="45">
        <f>M12</f>
        <v>0</v>
      </c>
      <c r="P12" s="39" t="s">
        <v>19</v>
      </c>
      <c r="Q12" s="45">
        <f>O12</f>
        <v>0</v>
      </c>
    </row>
    <row r="13" spans="1:18" ht="13.5" customHeight="1" x14ac:dyDescent="0.25">
      <c r="A13" s="92" t="s">
        <v>225</v>
      </c>
      <c r="B13" s="93" t="s">
        <v>224</v>
      </c>
      <c r="C13" s="69">
        <v>501305</v>
      </c>
      <c r="D13" s="69"/>
      <c r="E13" s="94" t="str">
        <f t="shared" ref="E13:E60" si="0">_xlfn.CONCAT(B13,C13,D13)</f>
        <v>00109140501305</v>
      </c>
      <c r="G13" s="34">
        <f t="shared" ref="G13:G20" si="1">ROUND(IFERROR(VLOOKUP(_xlfn.CONCAT($B13,$C13,$D13),$A$71:$C$9993,3,FALSE),0),0)</f>
        <v>0</v>
      </c>
      <c r="H13" s="43"/>
      <c r="I13" s="34">
        <f t="shared" ref="I13:I20" si="2">ROUND(IFERROR(VLOOKUP(_xlfn.CONCAT($B13,$C13,$D13),$A$71:$C$9993,2,FALSE),0),0)</f>
        <v>0</v>
      </c>
      <c r="J13" s="43"/>
      <c r="K13" s="45">
        <v>0</v>
      </c>
      <c r="L13" s="43"/>
      <c r="M13" s="45">
        <v>0</v>
      </c>
      <c r="N13" s="39"/>
      <c r="O13" s="45">
        <f t="shared" ref="O13:O20" si="3">M13</f>
        <v>0</v>
      </c>
      <c r="P13" s="39"/>
      <c r="Q13" s="45">
        <f t="shared" ref="Q13:Q20" si="4">O13</f>
        <v>0</v>
      </c>
    </row>
    <row r="14" spans="1:18" ht="13.5" customHeight="1" x14ac:dyDescent="0.25">
      <c r="A14" s="92" t="s">
        <v>21</v>
      </c>
      <c r="B14" s="93" t="s">
        <v>224</v>
      </c>
      <c r="C14" s="69">
        <v>201400</v>
      </c>
      <c r="D14" s="69"/>
      <c r="E14" s="94" t="str">
        <f t="shared" si="0"/>
        <v>00109140201400</v>
      </c>
      <c r="G14" s="34">
        <f t="shared" si="1"/>
        <v>0</v>
      </c>
      <c r="H14" s="43"/>
      <c r="I14" s="34">
        <f t="shared" si="2"/>
        <v>0</v>
      </c>
      <c r="J14" s="43"/>
      <c r="K14" s="45">
        <v>0</v>
      </c>
      <c r="L14" s="43"/>
      <c r="M14" s="45">
        <v>0</v>
      </c>
      <c r="N14" s="39"/>
      <c r="O14" s="45">
        <f t="shared" si="3"/>
        <v>0</v>
      </c>
      <c r="Q14" s="45">
        <f t="shared" si="4"/>
        <v>0</v>
      </c>
    </row>
    <row r="15" spans="1:18" ht="13.5" customHeight="1" x14ac:dyDescent="0.25">
      <c r="A15" s="40" t="s">
        <v>23</v>
      </c>
      <c r="B15" s="93" t="s">
        <v>224</v>
      </c>
      <c r="C15" s="69">
        <v>501600</v>
      </c>
      <c r="D15" s="69"/>
      <c r="E15" s="94" t="str">
        <f t="shared" si="0"/>
        <v>00109140501600</v>
      </c>
      <c r="G15" s="34">
        <f t="shared" si="1"/>
        <v>0</v>
      </c>
      <c r="H15" s="43"/>
      <c r="I15" s="34">
        <f t="shared" si="2"/>
        <v>0</v>
      </c>
      <c r="J15" s="43"/>
      <c r="K15" s="45">
        <v>0</v>
      </c>
      <c r="L15" s="43"/>
      <c r="M15" s="45">
        <f>'[1]Payroll Summary by Department'!I63</f>
        <v>0</v>
      </c>
      <c r="N15" s="44"/>
      <c r="O15" s="45">
        <f t="shared" si="3"/>
        <v>0</v>
      </c>
      <c r="Q15" s="45">
        <f t="shared" si="4"/>
        <v>0</v>
      </c>
    </row>
    <row r="16" spans="1:18" ht="13.5" customHeight="1" x14ac:dyDescent="0.25">
      <c r="A16" s="40" t="s">
        <v>26</v>
      </c>
      <c r="B16" s="93" t="s">
        <v>224</v>
      </c>
      <c r="C16" s="41">
        <v>501800</v>
      </c>
      <c r="D16" s="41"/>
      <c r="E16" s="94" t="str">
        <f t="shared" si="0"/>
        <v>00109140501800</v>
      </c>
      <c r="G16" s="34">
        <f t="shared" si="1"/>
        <v>0</v>
      </c>
      <c r="H16" s="43"/>
      <c r="I16" s="34">
        <f t="shared" si="2"/>
        <v>0</v>
      </c>
      <c r="J16" s="43"/>
      <c r="K16" s="45">
        <v>0</v>
      </c>
      <c r="L16" s="67"/>
      <c r="M16" s="45">
        <v>0</v>
      </c>
      <c r="N16" s="44"/>
      <c r="O16" s="45">
        <f t="shared" si="3"/>
        <v>0</v>
      </c>
      <c r="Q16" s="45">
        <f t="shared" si="4"/>
        <v>0</v>
      </c>
    </row>
    <row r="17" spans="1:17" ht="13.5" customHeight="1" x14ac:dyDescent="0.25">
      <c r="A17" s="40" t="s">
        <v>27</v>
      </c>
      <c r="B17" s="93" t="s">
        <v>224</v>
      </c>
      <c r="C17" s="69">
        <v>502100</v>
      </c>
      <c r="D17" s="69"/>
      <c r="E17" s="94" t="str">
        <f t="shared" si="0"/>
        <v>00109140502100</v>
      </c>
      <c r="G17" s="34">
        <f t="shared" si="1"/>
        <v>0</v>
      </c>
      <c r="H17" s="43"/>
      <c r="I17" s="34">
        <f t="shared" si="2"/>
        <v>0</v>
      </c>
      <c r="J17" s="43"/>
      <c r="K17" s="45">
        <v>0</v>
      </c>
      <c r="L17" s="43"/>
      <c r="M17" s="45">
        <f>'[1]Payroll Summary by Department'!N63</f>
        <v>0</v>
      </c>
      <c r="N17" s="44"/>
      <c r="O17" s="45">
        <f t="shared" si="3"/>
        <v>0</v>
      </c>
      <c r="Q17" s="45">
        <f t="shared" si="4"/>
        <v>0</v>
      </c>
    </row>
    <row r="18" spans="1:17" ht="13.5" customHeight="1" x14ac:dyDescent="0.25">
      <c r="A18" s="40" t="s">
        <v>28</v>
      </c>
      <c r="B18" s="93" t="s">
        <v>224</v>
      </c>
      <c r="C18" s="69">
        <v>502200</v>
      </c>
      <c r="D18" s="69"/>
      <c r="E18" s="94" t="str">
        <f t="shared" si="0"/>
        <v>00109140502200</v>
      </c>
      <c r="G18" s="34">
        <f t="shared" si="1"/>
        <v>0</v>
      </c>
      <c r="H18" s="43"/>
      <c r="I18" s="34">
        <f t="shared" si="2"/>
        <v>0</v>
      </c>
      <c r="J18" s="43"/>
      <c r="K18" s="45">
        <v>0</v>
      </c>
      <c r="L18" s="43"/>
      <c r="M18" s="45">
        <f>'[1]Payroll Summary by Department'!O63+'[1]Payroll Summary by Department'!P63</f>
        <v>0</v>
      </c>
      <c r="N18" s="44"/>
      <c r="O18" s="45">
        <f t="shared" si="3"/>
        <v>0</v>
      </c>
      <c r="Q18" s="45">
        <f t="shared" si="4"/>
        <v>0</v>
      </c>
    </row>
    <row r="19" spans="1:17" ht="13.5" customHeight="1" x14ac:dyDescent="0.25">
      <c r="A19" s="40" t="s">
        <v>29</v>
      </c>
      <c r="B19" s="93" t="s">
        <v>224</v>
      </c>
      <c r="C19" s="69">
        <v>502300</v>
      </c>
      <c r="D19" s="69"/>
      <c r="E19" s="94" t="str">
        <f t="shared" si="0"/>
        <v>00109140502300</v>
      </c>
      <c r="G19" s="34">
        <f t="shared" si="1"/>
        <v>0</v>
      </c>
      <c r="H19" s="43"/>
      <c r="I19" s="34">
        <f t="shared" si="2"/>
        <v>0</v>
      </c>
      <c r="J19" s="43"/>
      <c r="K19" s="45">
        <v>0</v>
      </c>
      <c r="L19" s="43"/>
      <c r="M19" s="45">
        <f>'[1]Payroll Summary by Department'!Q63</f>
        <v>0</v>
      </c>
      <c r="N19" s="44"/>
      <c r="O19" s="45">
        <f>M19</f>
        <v>0</v>
      </c>
      <c r="Q19" s="45">
        <f t="shared" si="4"/>
        <v>0</v>
      </c>
    </row>
    <row r="20" spans="1:17" ht="13.5" customHeight="1" x14ac:dyDescent="0.25">
      <c r="A20" s="40" t="s">
        <v>30</v>
      </c>
      <c r="B20" s="93" t="s">
        <v>224</v>
      </c>
      <c r="C20" s="69">
        <v>502400</v>
      </c>
      <c r="D20" s="69"/>
      <c r="E20" s="94" t="str">
        <f t="shared" si="0"/>
        <v>00109140502400</v>
      </c>
      <c r="G20" s="34">
        <f t="shared" si="1"/>
        <v>0</v>
      </c>
      <c r="H20" s="43"/>
      <c r="I20" s="34">
        <f t="shared" si="2"/>
        <v>0</v>
      </c>
      <c r="J20" s="43"/>
      <c r="K20" s="45">
        <v>0</v>
      </c>
      <c r="L20" s="43"/>
      <c r="M20" s="97">
        <f>'[1]Payroll Summary by Department'!R63</f>
        <v>0</v>
      </c>
      <c r="N20" s="44"/>
      <c r="O20" s="45">
        <f t="shared" si="3"/>
        <v>0</v>
      </c>
      <c r="Q20" s="45">
        <f t="shared" si="4"/>
        <v>0</v>
      </c>
    </row>
    <row r="21" spans="1:17" ht="24" customHeight="1" x14ac:dyDescent="0.25">
      <c r="A21" s="49" t="s">
        <v>31</v>
      </c>
      <c r="B21" s="50"/>
      <c r="E21" s="94" t="str">
        <f t="shared" si="0"/>
        <v/>
      </c>
      <c r="F21" s="42" t="s">
        <v>19</v>
      </c>
      <c r="G21" s="98">
        <f>SUM(G12:G20)</f>
        <v>0</v>
      </c>
      <c r="H21" s="43" t="s">
        <v>19</v>
      </c>
      <c r="I21" s="98">
        <f>SUM(I12:I20)</f>
        <v>0</v>
      </c>
      <c r="J21" s="43" t="s">
        <v>19</v>
      </c>
      <c r="K21" s="98">
        <f>SUM(K12:K20)</f>
        <v>0</v>
      </c>
      <c r="L21" s="43" t="s">
        <v>19</v>
      </c>
      <c r="M21" s="98">
        <f>SUM(M12:M20)</f>
        <v>0</v>
      </c>
      <c r="N21" s="44" t="s">
        <v>19</v>
      </c>
      <c r="O21" s="98">
        <f>SUM(O12:O20)</f>
        <v>0</v>
      </c>
      <c r="P21" s="39" t="s">
        <v>19</v>
      </c>
      <c r="Q21" s="98">
        <f>SUM(Q12:Q20)</f>
        <v>0</v>
      </c>
    </row>
    <row r="22" spans="1:17" ht="24" customHeight="1" x14ac:dyDescent="0.25">
      <c r="A22" s="99" t="s">
        <v>32</v>
      </c>
      <c r="E22" s="94" t="str">
        <f t="shared" si="0"/>
        <v/>
      </c>
      <c r="G22" s="45"/>
      <c r="I22" s="45"/>
      <c r="K22" s="45"/>
      <c r="M22" s="45"/>
      <c r="O22" s="45"/>
      <c r="Q22" s="45"/>
    </row>
    <row r="23" spans="1:17" ht="13.5" customHeight="1" x14ac:dyDescent="0.25">
      <c r="A23" s="100" t="s">
        <v>33</v>
      </c>
      <c r="B23" s="70"/>
      <c r="E23" s="94" t="str">
        <f t="shared" si="0"/>
        <v/>
      </c>
      <c r="G23" s="45"/>
      <c r="I23" s="45"/>
      <c r="K23" s="45"/>
      <c r="M23" s="45"/>
      <c r="O23" s="45"/>
      <c r="Q23" s="45"/>
    </row>
    <row r="24" spans="1:17" ht="13.5" customHeight="1" x14ac:dyDescent="0.25">
      <c r="A24" s="60" t="s">
        <v>45</v>
      </c>
      <c r="B24" s="61"/>
      <c r="C24" s="42" t="s">
        <v>46</v>
      </c>
      <c r="D24" s="42"/>
      <c r="E24" s="94" t="str">
        <f t="shared" si="0"/>
        <v>4C</v>
      </c>
      <c r="G24" s="101">
        <v>0</v>
      </c>
      <c r="H24" s="119"/>
      <c r="I24" s="101">
        <v>0</v>
      </c>
      <c r="J24" s="119"/>
      <c r="K24" s="101">
        <v>0</v>
      </c>
      <c r="L24" s="119"/>
      <c r="M24" s="101">
        <v>0</v>
      </c>
      <c r="N24" s="86"/>
      <c r="O24" s="101">
        <f>M24</f>
        <v>0</v>
      </c>
      <c r="Q24" s="101">
        <f>O24</f>
        <v>0</v>
      </c>
    </row>
    <row r="25" spans="1:17" ht="24" customHeight="1" thickBot="1" x14ac:dyDescent="0.3">
      <c r="A25" s="102" t="s">
        <v>51</v>
      </c>
      <c r="B25" s="61"/>
      <c r="C25" s="120"/>
      <c r="D25" s="120"/>
      <c r="E25" s="94" t="str">
        <f t="shared" si="0"/>
        <v/>
      </c>
      <c r="G25" s="103">
        <f>SUM(G24:G24)</f>
        <v>0</v>
      </c>
      <c r="H25" s="119"/>
      <c r="I25" s="103">
        <f>SUM(I24:I24)</f>
        <v>0</v>
      </c>
      <c r="J25" s="119"/>
      <c r="K25" s="103">
        <f>SUM(K24:K24)</f>
        <v>0</v>
      </c>
      <c r="L25" s="119"/>
      <c r="M25" s="103">
        <f>SUM(M24:M24)</f>
        <v>0</v>
      </c>
      <c r="N25" s="121"/>
      <c r="O25" s="103">
        <f>SUM(O24:O24)</f>
        <v>0</v>
      </c>
      <c r="Q25" s="103">
        <f>SUM(Q24:Q24)</f>
        <v>0</v>
      </c>
    </row>
    <row r="26" spans="1:17" ht="24" customHeight="1" thickTop="1" x14ac:dyDescent="0.25">
      <c r="A26" s="99" t="s">
        <v>52</v>
      </c>
      <c r="E26" s="94" t="str">
        <f t="shared" si="0"/>
        <v/>
      </c>
      <c r="G26" s="45"/>
      <c r="I26" s="45"/>
      <c r="K26" s="45"/>
      <c r="M26" s="45"/>
      <c r="O26" s="45"/>
      <c r="Q26" s="45"/>
    </row>
    <row r="27" spans="1:17" ht="15" customHeight="1" x14ac:dyDescent="0.25">
      <c r="A27" s="40" t="s">
        <v>125</v>
      </c>
      <c r="B27" s="93" t="s">
        <v>224</v>
      </c>
      <c r="C27" s="15">
        <v>503450</v>
      </c>
      <c r="E27" s="94" t="str">
        <f t="shared" si="0"/>
        <v>00109140503450</v>
      </c>
      <c r="F27" s="42" t="s">
        <v>19</v>
      </c>
      <c r="G27" s="34">
        <f t="shared" ref="G27:G60" si="5">ROUND(IFERROR(VLOOKUP(_xlfn.CONCAT($B27,$C27,$D27),$A$71:$C$9993,3,FALSE),0),0)</f>
        <v>0</v>
      </c>
      <c r="H27" s="43" t="s">
        <v>19</v>
      </c>
      <c r="I27" s="34">
        <f>ROUND(IFERROR(VLOOKUP(_xlfn.CONCAT($B27,$C27,$D27),$A$71:$C$9993,2,FALSE),0),0)</f>
        <v>0</v>
      </c>
      <c r="J27" s="43" t="s">
        <v>19</v>
      </c>
      <c r="K27" s="45">
        <v>0</v>
      </c>
      <c r="L27" s="43" t="s">
        <v>19</v>
      </c>
      <c r="M27" s="234">
        <v>0</v>
      </c>
      <c r="N27" s="39" t="s">
        <v>19</v>
      </c>
      <c r="O27" s="45">
        <f>M27</f>
        <v>0</v>
      </c>
      <c r="P27" s="39" t="s">
        <v>19</v>
      </c>
      <c r="Q27" s="45">
        <f>O27</f>
        <v>0</v>
      </c>
    </row>
    <row r="28" spans="1:17" ht="13.5" customHeight="1" x14ac:dyDescent="0.25">
      <c r="A28" s="40" t="s">
        <v>226</v>
      </c>
      <c r="B28" s="93" t="s">
        <v>224</v>
      </c>
      <c r="C28" s="15">
        <v>503460</v>
      </c>
      <c r="E28" s="94" t="str">
        <f t="shared" si="0"/>
        <v>00109140503460</v>
      </c>
      <c r="F28" s="42" t="s">
        <v>19</v>
      </c>
      <c r="G28" s="34">
        <f t="shared" si="5"/>
        <v>210</v>
      </c>
      <c r="H28" s="43" t="s">
        <v>19</v>
      </c>
      <c r="I28" s="34">
        <f t="shared" ref="I28:I60" si="6">ROUND(IFERROR(VLOOKUP(_xlfn.CONCAT($B28,$C28,$D28),$A$71:$C$9993,2,FALSE),0),0)</f>
        <v>221</v>
      </c>
      <c r="J28" s="43" t="s">
        <v>19</v>
      </c>
      <c r="K28" s="45">
        <v>300</v>
      </c>
      <c r="L28" s="43" t="s">
        <v>19</v>
      </c>
      <c r="M28" s="234">
        <v>300</v>
      </c>
      <c r="N28" s="39" t="s">
        <v>19</v>
      </c>
      <c r="O28" s="45">
        <f t="shared" ref="O28:O60" si="7">M28</f>
        <v>300</v>
      </c>
      <c r="P28" s="39" t="s">
        <v>19</v>
      </c>
      <c r="Q28" s="45">
        <f t="shared" ref="Q28:Q60" si="8">O28</f>
        <v>300</v>
      </c>
    </row>
    <row r="29" spans="1:17" ht="13.5" customHeight="1" x14ac:dyDescent="0.25">
      <c r="A29" s="40" t="s">
        <v>127</v>
      </c>
      <c r="B29" s="93" t="s">
        <v>224</v>
      </c>
      <c r="C29" s="15">
        <v>504430</v>
      </c>
      <c r="E29" s="94" t="str">
        <f t="shared" si="0"/>
        <v>00109140504430</v>
      </c>
      <c r="G29" s="34">
        <f t="shared" si="5"/>
        <v>0</v>
      </c>
      <c r="H29" s="43"/>
      <c r="I29" s="34">
        <f t="shared" si="6"/>
        <v>0</v>
      </c>
      <c r="J29" s="43"/>
      <c r="K29" s="45">
        <v>0</v>
      </c>
      <c r="L29" s="43"/>
      <c r="M29" s="234">
        <v>0</v>
      </c>
      <c r="N29" s="44"/>
      <c r="O29" s="45">
        <f t="shared" si="7"/>
        <v>0</v>
      </c>
      <c r="Q29" s="45">
        <f t="shared" si="8"/>
        <v>0</v>
      </c>
    </row>
    <row r="30" spans="1:17" ht="13.5" customHeight="1" x14ac:dyDescent="0.25">
      <c r="A30" s="40" t="s">
        <v>227</v>
      </c>
      <c r="B30" s="93" t="s">
        <v>224</v>
      </c>
      <c r="C30" s="15">
        <v>504440</v>
      </c>
      <c r="E30" s="94" t="str">
        <f t="shared" si="0"/>
        <v>00109140504440</v>
      </c>
      <c r="G30" s="34">
        <f t="shared" si="5"/>
        <v>2408</v>
      </c>
      <c r="H30" s="43"/>
      <c r="I30" s="34">
        <f t="shared" si="6"/>
        <v>2707</v>
      </c>
      <c r="J30" s="43"/>
      <c r="K30" s="45">
        <v>0</v>
      </c>
      <c r="L30" s="43"/>
      <c r="M30" s="234">
        <v>0</v>
      </c>
      <c r="N30" s="44"/>
      <c r="O30" s="45">
        <f t="shared" si="7"/>
        <v>0</v>
      </c>
      <c r="Q30" s="45">
        <f t="shared" si="8"/>
        <v>0</v>
      </c>
    </row>
    <row r="31" spans="1:17" ht="13.5" customHeight="1" x14ac:dyDescent="0.25">
      <c r="A31" s="60" t="s">
        <v>228</v>
      </c>
      <c r="B31" s="93" t="s">
        <v>224</v>
      </c>
      <c r="E31" s="94" t="str">
        <f t="shared" si="0"/>
        <v>00109140</v>
      </c>
      <c r="G31" s="34">
        <f t="shared" si="5"/>
        <v>0</v>
      </c>
      <c r="H31" s="43"/>
      <c r="I31" s="34">
        <f t="shared" si="6"/>
        <v>0</v>
      </c>
      <c r="J31" s="43"/>
      <c r="K31" s="45">
        <v>3200</v>
      </c>
      <c r="L31" s="43"/>
      <c r="M31" s="234">
        <v>3200</v>
      </c>
      <c r="N31" s="39"/>
      <c r="O31" s="45">
        <f t="shared" si="7"/>
        <v>3200</v>
      </c>
      <c r="Q31" s="45">
        <f t="shared" si="8"/>
        <v>3200</v>
      </c>
    </row>
    <row r="32" spans="1:17" ht="13.5" customHeight="1" x14ac:dyDescent="0.25">
      <c r="A32" s="40" t="s">
        <v>229</v>
      </c>
      <c r="B32" s="93" t="s">
        <v>224</v>
      </c>
      <c r="C32" s="15">
        <v>504601</v>
      </c>
      <c r="E32" s="94" t="str">
        <f t="shared" si="0"/>
        <v>00109140504601</v>
      </c>
      <c r="G32" s="34">
        <f t="shared" si="5"/>
        <v>754</v>
      </c>
      <c r="H32" s="43"/>
      <c r="I32" s="34">
        <f t="shared" si="6"/>
        <v>260</v>
      </c>
      <c r="J32" s="43"/>
      <c r="K32" s="45">
        <v>1000</v>
      </c>
      <c r="L32" s="43"/>
      <c r="M32" s="234">
        <v>1000</v>
      </c>
      <c r="N32" s="44"/>
      <c r="O32" s="45">
        <f t="shared" si="7"/>
        <v>1000</v>
      </c>
      <c r="Q32" s="45">
        <f t="shared" si="8"/>
        <v>1000</v>
      </c>
    </row>
    <row r="33" spans="1:17" ht="13.5" customHeight="1" x14ac:dyDescent="0.25">
      <c r="A33" s="40" t="s">
        <v>130</v>
      </c>
      <c r="B33" s="93" t="s">
        <v>224</v>
      </c>
      <c r="C33" s="69">
        <v>504602</v>
      </c>
      <c r="D33" s="69"/>
      <c r="E33" s="94" t="str">
        <f t="shared" si="0"/>
        <v>00109140504602</v>
      </c>
      <c r="G33" s="34">
        <f t="shared" si="5"/>
        <v>6855</v>
      </c>
      <c r="H33" s="43"/>
      <c r="I33" s="34">
        <f t="shared" si="6"/>
        <v>6073</v>
      </c>
      <c r="J33" s="43"/>
      <c r="K33" s="45">
        <v>5000</v>
      </c>
      <c r="L33" s="43"/>
      <c r="M33" s="234">
        <v>5000</v>
      </c>
      <c r="N33" s="44"/>
      <c r="O33" s="45">
        <f t="shared" si="7"/>
        <v>5000</v>
      </c>
      <c r="Q33" s="45">
        <f t="shared" si="8"/>
        <v>5000</v>
      </c>
    </row>
    <row r="34" spans="1:17" ht="13.5" customHeight="1" x14ac:dyDescent="0.25">
      <c r="A34" s="40" t="s">
        <v>131</v>
      </c>
      <c r="B34" s="93" t="s">
        <v>224</v>
      </c>
      <c r="C34" s="69">
        <v>504605</v>
      </c>
      <c r="D34" s="69"/>
      <c r="E34" s="94" t="str">
        <f t="shared" si="0"/>
        <v>00109140504605</v>
      </c>
      <c r="G34" s="34">
        <f t="shared" si="5"/>
        <v>0</v>
      </c>
      <c r="H34" s="43"/>
      <c r="I34" s="34">
        <f t="shared" si="6"/>
        <v>0</v>
      </c>
      <c r="J34" s="43"/>
      <c r="K34" s="45">
        <v>0</v>
      </c>
      <c r="L34" s="43"/>
      <c r="M34" s="234">
        <v>0</v>
      </c>
      <c r="N34" s="44"/>
      <c r="O34" s="45">
        <f t="shared" si="7"/>
        <v>0</v>
      </c>
      <c r="Q34" s="45">
        <f t="shared" si="8"/>
        <v>0</v>
      </c>
    </row>
    <row r="35" spans="1:17" ht="13.5" customHeight="1" x14ac:dyDescent="0.25">
      <c r="A35" s="40" t="s">
        <v>132</v>
      </c>
      <c r="B35" s="93" t="s">
        <v>224</v>
      </c>
      <c r="C35" s="69">
        <v>504610</v>
      </c>
      <c r="D35" s="69"/>
      <c r="E35" s="94" t="str">
        <f t="shared" si="0"/>
        <v>00109140504610</v>
      </c>
      <c r="G35" s="34">
        <f t="shared" si="5"/>
        <v>0</v>
      </c>
      <c r="H35" s="43"/>
      <c r="I35" s="34">
        <f t="shared" si="6"/>
        <v>0</v>
      </c>
      <c r="J35" s="43"/>
      <c r="K35" s="45">
        <v>0</v>
      </c>
      <c r="L35" s="43"/>
      <c r="M35" s="234">
        <v>0</v>
      </c>
      <c r="N35" s="44"/>
      <c r="O35" s="45">
        <f t="shared" si="7"/>
        <v>0</v>
      </c>
      <c r="Q35" s="45">
        <f t="shared" si="8"/>
        <v>0</v>
      </c>
    </row>
    <row r="36" spans="1:17" ht="13.5" customHeight="1" x14ac:dyDescent="0.25">
      <c r="A36" s="40" t="s">
        <v>135</v>
      </c>
      <c r="B36" s="93" t="s">
        <v>224</v>
      </c>
      <c r="C36" s="69">
        <v>504620</v>
      </c>
      <c r="D36" s="69"/>
      <c r="E36" s="94" t="str">
        <f t="shared" si="0"/>
        <v>00109140504620</v>
      </c>
      <c r="G36" s="34">
        <f t="shared" si="5"/>
        <v>82</v>
      </c>
      <c r="H36" s="43"/>
      <c r="I36" s="34">
        <f t="shared" si="6"/>
        <v>0</v>
      </c>
      <c r="J36" s="43"/>
      <c r="K36" s="45">
        <v>0</v>
      </c>
      <c r="L36" s="43"/>
      <c r="M36" s="234">
        <v>0</v>
      </c>
      <c r="N36" s="44"/>
      <c r="O36" s="45">
        <f t="shared" si="7"/>
        <v>0</v>
      </c>
      <c r="Q36" s="45">
        <f t="shared" si="8"/>
        <v>0</v>
      </c>
    </row>
    <row r="37" spans="1:17" ht="13.5" customHeight="1" x14ac:dyDescent="0.25">
      <c r="A37" s="60" t="s">
        <v>136</v>
      </c>
      <c r="B37" s="93" t="s">
        <v>224</v>
      </c>
      <c r="C37" s="69"/>
      <c r="D37" s="69"/>
      <c r="E37" s="94" t="str">
        <f t="shared" si="0"/>
        <v>00109140</v>
      </c>
      <c r="G37" s="34">
        <f t="shared" si="5"/>
        <v>0</v>
      </c>
      <c r="H37" s="43"/>
      <c r="I37" s="34">
        <f t="shared" si="6"/>
        <v>0</v>
      </c>
      <c r="J37" s="43"/>
      <c r="K37" s="45">
        <v>2000</v>
      </c>
      <c r="L37" s="43"/>
      <c r="M37" s="234">
        <v>2000</v>
      </c>
      <c r="N37" s="44"/>
      <c r="O37" s="45">
        <f t="shared" si="7"/>
        <v>2000</v>
      </c>
      <c r="Q37" s="45">
        <f t="shared" si="8"/>
        <v>2000</v>
      </c>
    </row>
    <row r="38" spans="1:17" ht="13.5" customHeight="1" x14ac:dyDescent="0.25">
      <c r="A38" s="60" t="s">
        <v>230</v>
      </c>
      <c r="B38" s="93" t="s">
        <v>224</v>
      </c>
      <c r="C38" s="69"/>
      <c r="D38" s="69"/>
      <c r="E38" s="94" t="str">
        <f t="shared" si="0"/>
        <v>00109140</v>
      </c>
      <c r="G38" s="34">
        <f t="shared" si="5"/>
        <v>0</v>
      </c>
      <c r="H38" s="43"/>
      <c r="I38" s="34">
        <f t="shared" si="6"/>
        <v>0</v>
      </c>
      <c r="J38" s="43"/>
      <c r="K38" s="45">
        <v>2500</v>
      </c>
      <c r="L38" s="43"/>
      <c r="M38" s="234">
        <v>2500</v>
      </c>
      <c r="N38" s="44"/>
      <c r="O38" s="45">
        <f t="shared" si="7"/>
        <v>2500</v>
      </c>
      <c r="Q38" s="45">
        <f t="shared" si="8"/>
        <v>2500</v>
      </c>
    </row>
    <row r="39" spans="1:17" ht="13.5" customHeight="1" x14ac:dyDescent="0.25">
      <c r="A39" s="40" t="s">
        <v>139</v>
      </c>
      <c r="B39" s="93" t="s">
        <v>224</v>
      </c>
      <c r="C39" s="69">
        <v>504675</v>
      </c>
      <c r="D39" s="69"/>
      <c r="E39" s="94" t="str">
        <f t="shared" si="0"/>
        <v>00109140504675</v>
      </c>
      <c r="G39" s="34">
        <f t="shared" si="5"/>
        <v>0</v>
      </c>
      <c r="H39" s="43"/>
      <c r="I39" s="34">
        <f t="shared" si="6"/>
        <v>0</v>
      </c>
      <c r="J39" s="43"/>
      <c r="K39" s="45">
        <v>3500</v>
      </c>
      <c r="L39" s="43"/>
      <c r="M39" s="234">
        <v>3500</v>
      </c>
      <c r="N39" s="44"/>
      <c r="O39" s="45">
        <f t="shared" si="7"/>
        <v>3500</v>
      </c>
      <c r="Q39" s="45">
        <f t="shared" si="8"/>
        <v>3500</v>
      </c>
    </row>
    <row r="40" spans="1:17" ht="13.5" customHeight="1" x14ac:dyDescent="0.25">
      <c r="A40" s="40" t="s">
        <v>231</v>
      </c>
      <c r="B40" s="93" t="s">
        <v>224</v>
      </c>
      <c r="C40" s="69">
        <v>504680</v>
      </c>
      <c r="D40" s="69"/>
      <c r="E40" s="94" t="str">
        <f t="shared" si="0"/>
        <v>00109140504680</v>
      </c>
      <c r="G40" s="34">
        <f t="shared" si="5"/>
        <v>27713</v>
      </c>
      <c r="H40" s="43"/>
      <c r="I40" s="34">
        <f t="shared" si="6"/>
        <v>17516</v>
      </c>
      <c r="J40" s="43"/>
      <c r="K40" s="45">
        <v>0</v>
      </c>
      <c r="L40" s="43"/>
      <c r="M40" s="234">
        <v>0</v>
      </c>
      <c r="N40" s="44"/>
      <c r="O40" s="45">
        <f t="shared" si="7"/>
        <v>0</v>
      </c>
      <c r="Q40" s="45">
        <f t="shared" si="8"/>
        <v>0</v>
      </c>
    </row>
    <row r="41" spans="1:17" ht="13.5" customHeight="1" x14ac:dyDescent="0.25">
      <c r="A41" s="60" t="s">
        <v>232</v>
      </c>
      <c r="B41" s="93" t="s">
        <v>224</v>
      </c>
      <c r="E41" s="94" t="str">
        <f t="shared" si="0"/>
        <v>00109140</v>
      </c>
      <c r="G41" s="34">
        <f t="shared" si="5"/>
        <v>0</v>
      </c>
      <c r="H41" s="43"/>
      <c r="I41" s="34">
        <f t="shared" si="6"/>
        <v>0</v>
      </c>
      <c r="J41" s="43"/>
      <c r="K41" s="45">
        <v>40000</v>
      </c>
      <c r="L41" s="43"/>
      <c r="M41" s="234">
        <v>40000</v>
      </c>
      <c r="N41" s="44"/>
      <c r="O41" s="45">
        <f t="shared" si="7"/>
        <v>40000</v>
      </c>
      <c r="Q41" s="45">
        <f t="shared" si="8"/>
        <v>40000</v>
      </c>
    </row>
    <row r="42" spans="1:17" ht="13.5" customHeight="1" x14ac:dyDescent="0.25">
      <c r="A42" s="40" t="s">
        <v>140</v>
      </c>
      <c r="B42" s="93" t="s">
        <v>224</v>
      </c>
      <c r="C42" s="15">
        <v>504683</v>
      </c>
      <c r="E42" s="94" t="str">
        <f t="shared" si="0"/>
        <v>00109140504683</v>
      </c>
      <c r="G42" s="34">
        <f t="shared" si="5"/>
        <v>3623</v>
      </c>
      <c r="H42" s="43"/>
      <c r="I42" s="34">
        <f t="shared" si="6"/>
        <v>1050</v>
      </c>
      <c r="J42" s="43"/>
      <c r="K42" s="45">
        <v>2000</v>
      </c>
      <c r="L42" s="43"/>
      <c r="M42" s="234">
        <v>2000</v>
      </c>
      <c r="N42" s="44"/>
      <c r="O42" s="45">
        <f>M42</f>
        <v>2000</v>
      </c>
      <c r="Q42" s="45">
        <f>O42</f>
        <v>2000</v>
      </c>
    </row>
    <row r="43" spans="1:17" ht="13.5" customHeight="1" x14ac:dyDescent="0.25">
      <c r="A43" s="40" t="s">
        <v>142</v>
      </c>
      <c r="B43" s="93" t="s">
        <v>224</v>
      </c>
      <c r="C43" s="69">
        <v>504699</v>
      </c>
      <c r="D43" s="69"/>
      <c r="E43" s="94" t="str">
        <f t="shared" si="0"/>
        <v>00109140504699</v>
      </c>
      <c r="G43" s="34">
        <f t="shared" si="5"/>
        <v>801</v>
      </c>
      <c r="H43" s="43"/>
      <c r="I43" s="34">
        <f t="shared" si="6"/>
        <v>634</v>
      </c>
      <c r="J43" s="43"/>
      <c r="K43" s="45">
        <v>4000</v>
      </c>
      <c r="L43" s="43"/>
      <c r="M43" s="234">
        <v>4000</v>
      </c>
      <c r="N43" s="44"/>
      <c r="O43" s="45">
        <f t="shared" si="7"/>
        <v>4000</v>
      </c>
      <c r="Q43" s="45">
        <f t="shared" si="8"/>
        <v>4000</v>
      </c>
    </row>
    <row r="44" spans="1:17" ht="13.5" customHeight="1" x14ac:dyDescent="0.25">
      <c r="A44" s="40" t="s">
        <v>233</v>
      </c>
      <c r="B44" s="93" t="s">
        <v>224</v>
      </c>
      <c r="C44" s="69">
        <v>504810</v>
      </c>
      <c r="D44" s="69"/>
      <c r="E44" s="94" t="str">
        <f t="shared" si="0"/>
        <v>00109140504810</v>
      </c>
      <c r="G44" s="34">
        <f t="shared" si="5"/>
        <v>2865</v>
      </c>
      <c r="H44" s="43"/>
      <c r="I44" s="34">
        <f t="shared" si="6"/>
        <v>0</v>
      </c>
      <c r="J44" s="43"/>
      <c r="K44" s="45">
        <v>0</v>
      </c>
      <c r="L44" s="43"/>
      <c r="M44" s="234">
        <v>0</v>
      </c>
      <c r="N44" s="44"/>
      <c r="O44" s="45">
        <f t="shared" si="7"/>
        <v>0</v>
      </c>
      <c r="Q44" s="45">
        <f t="shared" si="8"/>
        <v>0</v>
      </c>
    </row>
    <row r="45" spans="1:17" ht="13.5" customHeight="1" x14ac:dyDescent="0.25">
      <c r="A45" s="60" t="s">
        <v>234</v>
      </c>
      <c r="B45" s="93" t="s">
        <v>224</v>
      </c>
      <c r="E45" s="94" t="str">
        <f t="shared" si="0"/>
        <v>00109140</v>
      </c>
      <c r="G45" s="34">
        <f t="shared" si="5"/>
        <v>0</v>
      </c>
      <c r="H45" s="43"/>
      <c r="I45" s="34">
        <f t="shared" si="6"/>
        <v>0</v>
      </c>
      <c r="J45" s="43"/>
      <c r="K45" s="45">
        <v>0</v>
      </c>
      <c r="L45" s="43"/>
      <c r="M45" s="234">
        <v>0</v>
      </c>
      <c r="N45" s="44"/>
      <c r="O45" s="45">
        <f t="shared" si="7"/>
        <v>0</v>
      </c>
      <c r="Q45" s="45">
        <f t="shared" si="8"/>
        <v>0</v>
      </c>
    </row>
    <row r="46" spans="1:17" ht="13.5" customHeight="1" x14ac:dyDescent="0.25">
      <c r="A46" s="40" t="s">
        <v>235</v>
      </c>
      <c r="B46" s="93" t="s">
        <v>224</v>
      </c>
      <c r="C46" s="42">
        <v>504870</v>
      </c>
      <c r="D46" s="42"/>
      <c r="E46" s="94" t="str">
        <f t="shared" si="0"/>
        <v>00109140504870</v>
      </c>
      <c r="G46" s="34">
        <f t="shared" si="5"/>
        <v>0</v>
      </c>
      <c r="H46" s="43"/>
      <c r="I46" s="34">
        <f t="shared" si="6"/>
        <v>0</v>
      </c>
      <c r="J46" s="43"/>
      <c r="K46" s="45">
        <v>0</v>
      </c>
      <c r="L46" s="43"/>
      <c r="M46" s="234">
        <v>0</v>
      </c>
      <c r="N46" s="44"/>
      <c r="O46" s="45">
        <f t="shared" si="7"/>
        <v>0</v>
      </c>
      <c r="Q46" s="45">
        <f t="shared" si="8"/>
        <v>0</v>
      </c>
    </row>
    <row r="47" spans="1:17" ht="13.5" customHeight="1" x14ac:dyDescent="0.25">
      <c r="A47" s="40" t="s">
        <v>69</v>
      </c>
      <c r="B47" s="93" t="s">
        <v>224</v>
      </c>
      <c r="C47" s="69">
        <v>505201</v>
      </c>
      <c r="D47" s="69"/>
      <c r="E47" s="94" t="str">
        <f t="shared" si="0"/>
        <v>00109140505201</v>
      </c>
      <c r="G47" s="34">
        <f t="shared" si="5"/>
        <v>2159</v>
      </c>
      <c r="H47" s="43"/>
      <c r="I47" s="34">
        <f t="shared" si="6"/>
        <v>505</v>
      </c>
      <c r="J47" s="43"/>
      <c r="K47" s="45">
        <v>0</v>
      </c>
      <c r="L47" s="43"/>
      <c r="M47" s="234">
        <v>0</v>
      </c>
      <c r="N47" s="44"/>
      <c r="O47" s="45">
        <f t="shared" si="7"/>
        <v>0</v>
      </c>
      <c r="Q47" s="45">
        <f t="shared" si="8"/>
        <v>0</v>
      </c>
    </row>
    <row r="48" spans="1:17" ht="13.5" customHeight="1" x14ac:dyDescent="0.25">
      <c r="A48" s="40" t="s">
        <v>236</v>
      </c>
      <c r="B48" s="93" t="s">
        <v>224</v>
      </c>
      <c r="C48" s="69">
        <v>505220</v>
      </c>
      <c r="D48" s="69"/>
      <c r="E48" s="94" t="str">
        <f t="shared" si="0"/>
        <v>00109140505220</v>
      </c>
      <c r="G48" s="34">
        <f t="shared" si="5"/>
        <v>52140</v>
      </c>
      <c r="H48" s="43"/>
      <c r="I48" s="34">
        <f t="shared" si="6"/>
        <v>40953</v>
      </c>
      <c r="J48" s="43"/>
      <c r="K48" s="122">
        <v>0</v>
      </c>
      <c r="L48" s="43"/>
      <c r="M48" s="239">
        <v>0</v>
      </c>
      <c r="N48" s="44"/>
      <c r="O48" s="45">
        <f t="shared" si="7"/>
        <v>0</v>
      </c>
      <c r="Q48" s="45">
        <f t="shared" si="8"/>
        <v>0</v>
      </c>
    </row>
    <row r="49" spans="1:21" ht="13.5" customHeight="1" x14ac:dyDescent="0.25">
      <c r="A49" s="60" t="s">
        <v>237</v>
      </c>
      <c r="B49" s="93" t="s">
        <v>224</v>
      </c>
      <c r="C49" s="69"/>
      <c r="D49" s="69"/>
      <c r="E49" s="94" t="str">
        <f t="shared" si="0"/>
        <v>00109140</v>
      </c>
      <c r="G49" s="34">
        <f t="shared" si="5"/>
        <v>0</v>
      </c>
      <c r="H49" s="43"/>
      <c r="I49" s="34">
        <f t="shared" si="6"/>
        <v>0</v>
      </c>
      <c r="J49" s="43"/>
      <c r="K49" s="122">
        <v>50000</v>
      </c>
      <c r="L49" s="43"/>
      <c r="M49" s="239">
        <v>50000</v>
      </c>
      <c r="N49" s="44"/>
      <c r="O49" s="45">
        <f t="shared" si="7"/>
        <v>50000</v>
      </c>
      <c r="Q49" s="45">
        <f t="shared" si="8"/>
        <v>50000</v>
      </c>
    </row>
    <row r="50" spans="1:21" ht="13.5" customHeight="1" x14ac:dyDescent="0.25">
      <c r="A50" s="40" t="s">
        <v>238</v>
      </c>
      <c r="B50" s="93" t="s">
        <v>224</v>
      </c>
      <c r="C50" s="69">
        <v>505250</v>
      </c>
      <c r="D50" s="69"/>
      <c r="E50" s="94" t="str">
        <f t="shared" si="0"/>
        <v>00109140505250</v>
      </c>
      <c r="G50" s="34">
        <f t="shared" si="5"/>
        <v>0</v>
      </c>
      <c r="H50" s="43"/>
      <c r="I50" s="34">
        <f t="shared" si="6"/>
        <v>0</v>
      </c>
      <c r="J50" s="43"/>
      <c r="K50" s="122">
        <v>0</v>
      </c>
      <c r="L50" s="43"/>
      <c r="M50" s="239">
        <v>0</v>
      </c>
      <c r="N50" s="44"/>
      <c r="O50" s="45">
        <f t="shared" si="7"/>
        <v>0</v>
      </c>
      <c r="Q50" s="45">
        <f t="shared" si="8"/>
        <v>0</v>
      </c>
    </row>
    <row r="51" spans="1:21" ht="13.5" customHeight="1" x14ac:dyDescent="0.25">
      <c r="A51" s="40" t="s">
        <v>70</v>
      </c>
      <c r="B51" s="93" t="s">
        <v>224</v>
      </c>
      <c r="C51" s="69">
        <v>505260</v>
      </c>
      <c r="D51" s="69"/>
      <c r="E51" s="94" t="str">
        <f t="shared" si="0"/>
        <v>00109140505260</v>
      </c>
      <c r="G51" s="34">
        <f t="shared" si="5"/>
        <v>0</v>
      </c>
      <c r="H51" s="43"/>
      <c r="I51" s="34">
        <f t="shared" si="6"/>
        <v>0</v>
      </c>
      <c r="J51" s="43"/>
      <c r="K51" s="45">
        <v>0</v>
      </c>
      <c r="L51" s="43"/>
      <c r="M51" s="234">
        <v>0</v>
      </c>
      <c r="N51" s="44"/>
      <c r="O51" s="45">
        <f t="shared" si="7"/>
        <v>0</v>
      </c>
      <c r="Q51" s="45">
        <f t="shared" si="8"/>
        <v>0</v>
      </c>
    </row>
    <row r="52" spans="1:21" ht="13.5" customHeight="1" x14ac:dyDescent="0.25">
      <c r="A52" s="40" t="s">
        <v>143</v>
      </c>
      <c r="B52" s="93" t="s">
        <v>224</v>
      </c>
      <c r="C52" s="69">
        <v>505505</v>
      </c>
      <c r="D52" s="69"/>
      <c r="E52" s="94" t="str">
        <f t="shared" si="0"/>
        <v>00109140505505</v>
      </c>
      <c r="G52" s="34">
        <f t="shared" si="5"/>
        <v>0</v>
      </c>
      <c r="H52" s="43"/>
      <c r="I52" s="34">
        <f t="shared" si="6"/>
        <v>0</v>
      </c>
      <c r="J52" s="43"/>
      <c r="K52" s="113">
        <v>0</v>
      </c>
      <c r="L52" s="43"/>
      <c r="M52" s="238">
        <v>0</v>
      </c>
      <c r="N52" s="44"/>
      <c r="O52" s="45">
        <f t="shared" si="7"/>
        <v>0</v>
      </c>
      <c r="Q52" s="45">
        <f t="shared" si="8"/>
        <v>0</v>
      </c>
    </row>
    <row r="53" spans="1:21" ht="13.5" customHeight="1" x14ac:dyDescent="0.25">
      <c r="A53" s="40" t="s">
        <v>144</v>
      </c>
      <c r="B53" s="93" t="s">
        <v>224</v>
      </c>
      <c r="C53" s="69">
        <v>505532</v>
      </c>
      <c r="D53" s="69"/>
      <c r="E53" s="94" t="str">
        <f t="shared" si="0"/>
        <v>00109140505532</v>
      </c>
      <c r="G53" s="34">
        <f t="shared" si="5"/>
        <v>0</v>
      </c>
      <c r="H53" s="43"/>
      <c r="I53" s="34">
        <f t="shared" si="6"/>
        <v>0</v>
      </c>
      <c r="J53" s="43"/>
      <c r="K53" s="113">
        <v>0</v>
      </c>
      <c r="L53" s="43"/>
      <c r="M53" s="238">
        <v>0</v>
      </c>
      <c r="N53" s="44"/>
      <c r="O53" s="45">
        <f t="shared" si="7"/>
        <v>0</v>
      </c>
      <c r="Q53" s="45">
        <f t="shared" si="8"/>
        <v>0</v>
      </c>
    </row>
    <row r="54" spans="1:21" ht="13.5" customHeight="1" x14ac:dyDescent="0.25">
      <c r="A54" s="40" t="s">
        <v>145</v>
      </c>
      <c r="B54" s="93" t="s">
        <v>224</v>
      </c>
      <c r="C54" s="69">
        <v>505540</v>
      </c>
      <c r="D54" s="69"/>
      <c r="E54" s="94" t="str">
        <f t="shared" si="0"/>
        <v>00109140505540</v>
      </c>
      <c r="G54" s="34">
        <f t="shared" si="5"/>
        <v>0</v>
      </c>
      <c r="H54" s="43"/>
      <c r="I54" s="34">
        <f t="shared" si="6"/>
        <v>0</v>
      </c>
      <c r="J54" s="43"/>
      <c r="K54" s="113">
        <v>0</v>
      </c>
      <c r="L54" s="43"/>
      <c r="M54" s="238">
        <v>0</v>
      </c>
      <c r="N54" s="44"/>
      <c r="O54" s="45">
        <f t="shared" si="7"/>
        <v>0</v>
      </c>
      <c r="Q54" s="45">
        <f t="shared" si="8"/>
        <v>0</v>
      </c>
    </row>
    <row r="55" spans="1:21" ht="13.5" customHeight="1" x14ac:dyDescent="0.25">
      <c r="A55" s="40" t="s">
        <v>72</v>
      </c>
      <c r="B55" s="93" t="s">
        <v>224</v>
      </c>
      <c r="C55" s="42">
        <v>505550</v>
      </c>
      <c r="D55" s="42"/>
      <c r="E55" s="94" t="str">
        <f t="shared" si="0"/>
        <v>00109140505550</v>
      </c>
      <c r="G55" s="34">
        <f t="shared" si="5"/>
        <v>0</v>
      </c>
      <c r="H55" s="67"/>
      <c r="I55" s="34">
        <f t="shared" si="6"/>
        <v>0</v>
      </c>
      <c r="J55" s="67"/>
      <c r="K55" s="45">
        <v>0</v>
      </c>
      <c r="L55" s="67"/>
      <c r="M55" s="234">
        <v>0</v>
      </c>
      <c r="N55" s="44"/>
      <c r="O55" s="45">
        <f t="shared" si="7"/>
        <v>0</v>
      </c>
      <c r="Q55" s="45">
        <f t="shared" si="8"/>
        <v>0</v>
      </c>
    </row>
    <row r="56" spans="1:21" ht="13.5" customHeight="1" x14ac:dyDescent="0.25">
      <c r="A56" s="40" t="s">
        <v>239</v>
      </c>
      <c r="B56" s="93" t="s">
        <v>224</v>
      </c>
      <c r="C56" s="69">
        <v>505602</v>
      </c>
      <c r="D56" s="69"/>
      <c r="E56" s="94" t="str">
        <f t="shared" si="0"/>
        <v>00109140505602</v>
      </c>
      <c r="G56" s="34">
        <f t="shared" si="5"/>
        <v>57794</v>
      </c>
      <c r="H56" s="43"/>
      <c r="I56" s="34">
        <f t="shared" si="6"/>
        <v>44014</v>
      </c>
      <c r="J56" s="43"/>
      <c r="K56" s="45">
        <v>65000</v>
      </c>
      <c r="L56" s="43"/>
      <c r="M56" s="234">
        <v>65000</v>
      </c>
      <c r="N56" s="44"/>
      <c r="O56" s="45">
        <f t="shared" si="7"/>
        <v>65000</v>
      </c>
      <c r="Q56" s="45">
        <f t="shared" si="8"/>
        <v>65000</v>
      </c>
    </row>
    <row r="57" spans="1:21" ht="13.5" customHeight="1" x14ac:dyDescent="0.25">
      <c r="A57" s="40" t="s">
        <v>73</v>
      </c>
      <c r="B57" s="93" t="s">
        <v>224</v>
      </c>
      <c r="C57" s="69">
        <v>505710</v>
      </c>
      <c r="D57" s="69"/>
      <c r="E57" s="94" t="str">
        <f t="shared" si="0"/>
        <v>00109140505710</v>
      </c>
      <c r="G57" s="34">
        <f t="shared" si="5"/>
        <v>0</v>
      </c>
      <c r="H57" s="43"/>
      <c r="I57" s="34">
        <f t="shared" si="6"/>
        <v>0</v>
      </c>
      <c r="J57" s="43"/>
      <c r="K57" s="45">
        <v>0</v>
      </c>
      <c r="L57" s="43"/>
      <c r="M57" s="234">
        <v>0</v>
      </c>
      <c r="N57" s="44"/>
      <c r="O57" s="45">
        <f t="shared" si="7"/>
        <v>0</v>
      </c>
      <c r="Q57" s="45">
        <f t="shared" si="8"/>
        <v>0</v>
      </c>
    </row>
    <row r="58" spans="1:21" ht="13.5" customHeight="1" x14ac:dyDescent="0.25">
      <c r="A58" s="40" t="s">
        <v>147</v>
      </c>
      <c r="B58" s="93" t="s">
        <v>224</v>
      </c>
      <c r="C58" s="69">
        <v>505750</v>
      </c>
      <c r="D58" s="69"/>
      <c r="E58" s="94" t="str">
        <f t="shared" si="0"/>
        <v>00109140505750</v>
      </c>
      <c r="G58" s="34">
        <f>ROUND(IFERROR(VLOOKUP(_xlfn.CONCAT($B58,$C58,$D58),$A$71:$C$9993,3,FALSE),0),0)+1</f>
        <v>1402</v>
      </c>
      <c r="H58" s="43"/>
      <c r="I58" s="34">
        <f>ROUND(IFERROR(VLOOKUP(_xlfn.CONCAT($B58,$C58,$D58),$A$71:$C$9993,2,FALSE),0),0)-1</f>
        <v>3002</v>
      </c>
      <c r="J58" s="43"/>
      <c r="K58" s="45">
        <v>1300</v>
      </c>
      <c r="L58" s="43"/>
      <c r="M58" s="234">
        <v>1300</v>
      </c>
      <c r="N58" s="44"/>
      <c r="O58" s="45">
        <f t="shared" si="7"/>
        <v>1300</v>
      </c>
      <c r="Q58" s="45">
        <f t="shared" si="8"/>
        <v>1300</v>
      </c>
    </row>
    <row r="59" spans="1:21" ht="13.5" customHeight="1" x14ac:dyDescent="0.25">
      <c r="A59" s="60" t="s">
        <v>240</v>
      </c>
      <c r="B59" s="93" t="s">
        <v>224</v>
      </c>
      <c r="C59" s="69"/>
      <c r="D59" s="69"/>
      <c r="E59" s="94" t="str">
        <f t="shared" si="0"/>
        <v>00109140</v>
      </c>
      <c r="G59" s="34">
        <f t="shared" si="5"/>
        <v>0</v>
      </c>
      <c r="H59" s="43"/>
      <c r="I59" s="34">
        <f t="shared" si="6"/>
        <v>0</v>
      </c>
      <c r="J59" s="43"/>
      <c r="K59" s="45">
        <v>2000</v>
      </c>
      <c r="L59" s="43"/>
      <c r="M59" s="234">
        <v>2000</v>
      </c>
      <c r="N59" s="44"/>
      <c r="O59" s="45">
        <f t="shared" si="7"/>
        <v>2000</v>
      </c>
      <c r="Q59" s="45">
        <f t="shared" si="8"/>
        <v>2000</v>
      </c>
    </row>
    <row r="60" spans="1:21" s="123" customFormat="1" ht="13.5" customHeight="1" x14ac:dyDescent="0.25">
      <c r="A60" s="40" t="s">
        <v>74</v>
      </c>
      <c r="B60" s="93" t="s">
        <v>224</v>
      </c>
      <c r="C60" s="123">
        <v>505801</v>
      </c>
      <c r="E60" s="94" t="str">
        <f t="shared" si="0"/>
        <v>00109140505801</v>
      </c>
      <c r="F60" s="124"/>
      <c r="G60" s="34">
        <f t="shared" si="5"/>
        <v>5999</v>
      </c>
      <c r="H60" s="43"/>
      <c r="I60" s="34">
        <f t="shared" si="6"/>
        <v>0</v>
      </c>
      <c r="J60" s="43"/>
      <c r="K60" s="72">
        <v>0</v>
      </c>
      <c r="L60" s="43"/>
      <c r="M60" s="237">
        <v>0</v>
      </c>
      <c r="N60" s="44"/>
      <c r="O60" s="45">
        <f t="shared" si="7"/>
        <v>0</v>
      </c>
      <c r="Q60" s="45">
        <f t="shared" si="8"/>
        <v>0</v>
      </c>
      <c r="R60"/>
      <c r="S60"/>
      <c r="T60"/>
      <c r="U60"/>
    </row>
    <row r="61" spans="1:21" s="123" customFormat="1" ht="13.5" customHeight="1" x14ac:dyDescent="0.25">
      <c r="A61" s="40"/>
      <c r="B61" s="70"/>
      <c r="E61" s="125"/>
      <c r="F61" s="124"/>
      <c r="G61" s="72"/>
      <c r="H61" s="43"/>
      <c r="I61" s="45"/>
      <c r="J61" s="43"/>
      <c r="K61" s="72"/>
      <c r="L61" s="43"/>
      <c r="M61" s="72"/>
      <c r="N61" s="44"/>
      <c r="O61" s="45"/>
      <c r="Q61" s="45"/>
      <c r="R61"/>
      <c r="S61"/>
      <c r="T61"/>
      <c r="U61"/>
    </row>
    <row r="62" spans="1:21" ht="24" customHeight="1" x14ac:dyDescent="0.25">
      <c r="A62" s="49" t="s">
        <v>75</v>
      </c>
      <c r="B62" s="50"/>
      <c r="F62" s="42" t="s">
        <v>19</v>
      </c>
      <c r="G62" s="98">
        <f>SUM(G27:G61)</f>
        <v>164805</v>
      </c>
      <c r="H62" s="43" t="s">
        <v>19</v>
      </c>
      <c r="I62" s="98">
        <f t="shared" ref="I62:Q62" si="9">SUM(I27:I61)</f>
        <v>116935</v>
      </c>
      <c r="J62" s="43" t="s">
        <v>19</v>
      </c>
      <c r="K62" s="98">
        <f t="shared" si="9"/>
        <v>181800</v>
      </c>
      <c r="L62" s="43" t="s">
        <v>19</v>
      </c>
      <c r="M62" s="98">
        <f>SUM(M27:M61)</f>
        <v>181800</v>
      </c>
      <c r="N62" s="43" t="s">
        <v>19</v>
      </c>
      <c r="O62" s="98">
        <f t="shared" si="9"/>
        <v>181800</v>
      </c>
      <c r="P62" s="43" t="s">
        <v>19</v>
      </c>
      <c r="Q62" s="98">
        <f t="shared" si="9"/>
        <v>181800</v>
      </c>
    </row>
    <row r="63" spans="1:21" ht="24" customHeight="1" thickBot="1" x14ac:dyDescent="0.3">
      <c r="A63" s="99" t="s">
        <v>76</v>
      </c>
      <c r="F63" s="42" t="s">
        <v>19</v>
      </c>
      <c r="G63" s="109">
        <f>+G21+G62</f>
        <v>164805</v>
      </c>
      <c r="H63" s="43" t="s">
        <v>19</v>
      </c>
      <c r="I63" s="109">
        <f>+I21+I62</f>
        <v>116935</v>
      </c>
      <c r="J63" s="43" t="s">
        <v>19</v>
      </c>
      <c r="K63" s="109">
        <f>+K21+K62</f>
        <v>181800</v>
      </c>
      <c r="L63" s="43" t="s">
        <v>19</v>
      </c>
      <c r="M63" s="109">
        <f>+M21+M62</f>
        <v>181800</v>
      </c>
      <c r="N63" s="39" t="s">
        <v>19</v>
      </c>
      <c r="O63" s="109">
        <f>+O21+O62</f>
        <v>181800</v>
      </c>
      <c r="P63" s="39" t="s">
        <v>19</v>
      </c>
      <c r="Q63" s="109">
        <f>+Q21+Q62</f>
        <v>181800</v>
      </c>
    </row>
    <row r="64" spans="1:21" ht="15.75" thickTop="1" x14ac:dyDescent="0.25">
      <c r="A64" s="16"/>
      <c r="B64" s="17"/>
      <c r="C64" s="16"/>
      <c r="D64" s="16"/>
      <c r="E64" s="5"/>
      <c r="F64" s="6"/>
      <c r="G64" s="36"/>
      <c r="H64" s="6"/>
      <c r="I64" s="36"/>
      <c r="J64" s="6"/>
      <c r="K64" s="36"/>
      <c r="L64" s="6"/>
      <c r="M64" s="36"/>
      <c r="N64" s="53"/>
      <c r="O64" s="36"/>
      <c r="Q64" s="36"/>
    </row>
    <row r="65" spans="1:17" hidden="1" x14ac:dyDescent="0.25">
      <c r="G65" s="45"/>
      <c r="H65" s="6"/>
      <c r="I65" s="45"/>
      <c r="J65" s="6"/>
      <c r="O65" s="15"/>
    </row>
    <row r="66" spans="1:17" hidden="1" x14ac:dyDescent="0.25">
      <c r="A66" s="28" t="s">
        <v>77</v>
      </c>
      <c r="G66" s="76">
        <v>164805</v>
      </c>
      <c r="I66" s="76">
        <v>116935</v>
      </c>
      <c r="J66" s="6"/>
      <c r="O66" s="15"/>
    </row>
    <row r="67" spans="1:17" hidden="1" x14ac:dyDescent="0.25">
      <c r="A67" s="28" t="s">
        <v>78</v>
      </c>
      <c r="G67" s="44">
        <f>G63-G66</f>
        <v>0</v>
      </c>
      <c r="H67" s="43"/>
      <c r="I67" s="44">
        <f>I63-I66</f>
        <v>0</v>
      </c>
      <c r="J67" s="6"/>
      <c r="O67" s="15"/>
    </row>
    <row r="68" spans="1:17" hidden="1" x14ac:dyDescent="0.25">
      <c r="G68" s="44"/>
      <c r="K68" s="44"/>
      <c r="M68" s="44"/>
      <c r="O68" s="44"/>
      <c r="Q68" s="44"/>
    </row>
    <row r="69" spans="1:17" hidden="1" x14ac:dyDescent="0.25">
      <c r="I69" s="15"/>
      <c r="O69" s="15"/>
    </row>
    <row r="70" spans="1:17" hidden="1" x14ac:dyDescent="0.25">
      <c r="B70" s="29" t="s">
        <v>79</v>
      </c>
      <c r="C70" s="15" t="s">
        <v>80</v>
      </c>
      <c r="G70" s="77" t="s">
        <v>81</v>
      </c>
      <c r="I70" s="15"/>
      <c r="O70" s="15"/>
    </row>
    <row r="71" spans="1:17" hidden="1" x14ac:dyDescent="0.25">
      <c r="A71" s="15" t="s">
        <v>241</v>
      </c>
      <c r="B71" s="29">
        <v>0</v>
      </c>
      <c r="C71" s="15">
        <v>0</v>
      </c>
      <c r="G71" s="15" t="str">
        <f>VLOOKUP(A71,E:E,1,FALSE)</f>
        <v>00109140501201</v>
      </c>
      <c r="I71" s="15"/>
      <c r="O71" s="15"/>
    </row>
    <row r="72" spans="1:17" hidden="1" x14ac:dyDescent="0.25">
      <c r="A72" s="15" t="s">
        <v>242</v>
      </c>
      <c r="B72" s="29">
        <v>0</v>
      </c>
      <c r="C72" s="15">
        <v>0</v>
      </c>
      <c r="G72" s="15" t="str">
        <f t="shared" ref="G72:G110" si="10">VLOOKUP(A72,E:E,1,FALSE)</f>
        <v>00109140501305</v>
      </c>
      <c r="I72" s="15"/>
      <c r="O72" s="15"/>
    </row>
    <row r="73" spans="1:17" hidden="1" x14ac:dyDescent="0.25">
      <c r="A73" s="15" t="s">
        <v>243</v>
      </c>
      <c r="B73" s="29">
        <v>0</v>
      </c>
      <c r="C73" s="15">
        <v>0</v>
      </c>
      <c r="G73" s="15" t="e">
        <f t="shared" si="10"/>
        <v>#N/A</v>
      </c>
      <c r="I73" s="15"/>
      <c r="O73" s="15"/>
    </row>
    <row r="74" spans="1:17" hidden="1" x14ac:dyDescent="0.25">
      <c r="A74" s="15" t="s">
        <v>244</v>
      </c>
      <c r="B74" s="29">
        <v>0</v>
      </c>
      <c r="C74" s="15">
        <v>0</v>
      </c>
      <c r="G74" s="15" t="str">
        <f t="shared" si="10"/>
        <v>00109140501600</v>
      </c>
      <c r="I74" s="15"/>
      <c r="O74" s="15"/>
    </row>
    <row r="75" spans="1:17" hidden="1" x14ac:dyDescent="0.25">
      <c r="A75" s="15" t="s">
        <v>245</v>
      </c>
      <c r="B75" s="29">
        <v>0</v>
      </c>
      <c r="C75" s="15">
        <v>0</v>
      </c>
      <c r="G75" s="15" t="str">
        <f t="shared" si="10"/>
        <v>00109140501800</v>
      </c>
      <c r="I75" s="15"/>
      <c r="O75" s="15"/>
    </row>
    <row r="76" spans="1:17" hidden="1" x14ac:dyDescent="0.25">
      <c r="A76" s="15" t="s">
        <v>246</v>
      </c>
      <c r="B76" s="29">
        <v>0</v>
      </c>
      <c r="C76" s="15">
        <v>0</v>
      </c>
      <c r="G76" s="15" t="str">
        <f t="shared" si="10"/>
        <v>00109140502100</v>
      </c>
      <c r="I76" s="15"/>
      <c r="O76" s="15"/>
    </row>
    <row r="77" spans="1:17" hidden="1" x14ac:dyDescent="0.25">
      <c r="A77" s="15" t="s">
        <v>247</v>
      </c>
      <c r="B77" s="29">
        <v>0</v>
      </c>
      <c r="C77" s="15">
        <v>0</v>
      </c>
      <c r="G77" s="15" t="str">
        <f t="shared" si="10"/>
        <v>00109140502200</v>
      </c>
      <c r="I77" s="15"/>
      <c r="O77" s="15"/>
    </row>
    <row r="78" spans="1:17" hidden="1" x14ac:dyDescent="0.25">
      <c r="A78" s="15" t="s">
        <v>248</v>
      </c>
      <c r="B78" s="29">
        <v>0</v>
      </c>
      <c r="C78" s="15">
        <v>0</v>
      </c>
      <c r="G78" s="15" t="str">
        <f t="shared" si="10"/>
        <v>00109140502300</v>
      </c>
      <c r="I78" s="15"/>
      <c r="O78" s="15"/>
    </row>
    <row r="79" spans="1:17" hidden="1" x14ac:dyDescent="0.25">
      <c r="A79" s="15" t="s">
        <v>249</v>
      </c>
      <c r="B79" s="29">
        <v>0</v>
      </c>
      <c r="C79" s="15">
        <v>0</v>
      </c>
      <c r="G79" s="15" t="str">
        <f t="shared" si="10"/>
        <v>00109140502400</v>
      </c>
      <c r="I79" s="15"/>
      <c r="O79" s="15"/>
    </row>
    <row r="80" spans="1:17" hidden="1" x14ac:dyDescent="0.25">
      <c r="A80" s="15" t="s">
        <v>250</v>
      </c>
      <c r="B80" s="29">
        <v>0</v>
      </c>
      <c r="C80" s="15">
        <v>0</v>
      </c>
      <c r="G80" s="15" t="str">
        <f t="shared" si="10"/>
        <v>00109140503450</v>
      </c>
      <c r="I80" s="15"/>
      <c r="O80" s="15"/>
    </row>
    <row r="81" spans="1:15" hidden="1" x14ac:dyDescent="0.25">
      <c r="A81" s="15" t="s">
        <v>251</v>
      </c>
      <c r="B81" s="29">
        <v>220.6</v>
      </c>
      <c r="C81" s="15">
        <v>210</v>
      </c>
      <c r="G81" s="15" t="str">
        <f t="shared" si="10"/>
        <v>00109140503460</v>
      </c>
      <c r="O81" s="15"/>
    </row>
    <row r="82" spans="1:15" hidden="1" x14ac:dyDescent="0.25">
      <c r="A82" s="15" t="s">
        <v>252</v>
      </c>
      <c r="B82" s="29">
        <v>0</v>
      </c>
      <c r="C82" s="15">
        <v>0</v>
      </c>
      <c r="G82" s="15" t="str">
        <f t="shared" si="10"/>
        <v>00109140504430</v>
      </c>
      <c r="O82" s="15"/>
    </row>
    <row r="83" spans="1:15" hidden="1" x14ac:dyDescent="0.25">
      <c r="A83" s="15" t="s">
        <v>253</v>
      </c>
      <c r="B83" s="29">
        <v>2706.65</v>
      </c>
      <c r="C83" s="15">
        <v>2408.2199999999998</v>
      </c>
      <c r="G83" s="15" t="str">
        <f t="shared" si="10"/>
        <v>00109140504440</v>
      </c>
      <c r="O83" s="15"/>
    </row>
    <row r="84" spans="1:15" hidden="1" x14ac:dyDescent="0.25">
      <c r="A84" s="15" t="s">
        <v>254</v>
      </c>
      <c r="B84" s="29">
        <v>259.7</v>
      </c>
      <c r="C84" s="15">
        <v>754</v>
      </c>
      <c r="G84" s="15" t="str">
        <f t="shared" si="10"/>
        <v>00109140504601</v>
      </c>
      <c r="O84" s="15"/>
    </row>
    <row r="85" spans="1:15" hidden="1" x14ac:dyDescent="0.25">
      <c r="A85" s="15" t="s">
        <v>255</v>
      </c>
      <c r="B85" s="29">
        <v>6072.9</v>
      </c>
      <c r="C85" s="15">
        <v>6855</v>
      </c>
      <c r="G85" s="15" t="str">
        <f t="shared" si="10"/>
        <v>00109140504602</v>
      </c>
      <c r="O85" s="15"/>
    </row>
    <row r="86" spans="1:15" hidden="1" x14ac:dyDescent="0.25">
      <c r="A86" s="15" t="s">
        <v>256</v>
      </c>
      <c r="B86" s="29">
        <v>0</v>
      </c>
      <c r="C86" s="15">
        <v>0</v>
      </c>
      <c r="G86" s="15" t="str">
        <f t="shared" si="10"/>
        <v>00109140504605</v>
      </c>
      <c r="O86" s="15"/>
    </row>
    <row r="87" spans="1:15" hidden="1" x14ac:dyDescent="0.25">
      <c r="A87" s="15" t="s">
        <v>257</v>
      </c>
      <c r="B87" s="29">
        <v>0</v>
      </c>
      <c r="C87" s="15">
        <v>0</v>
      </c>
      <c r="G87" s="15" t="str">
        <f t="shared" si="10"/>
        <v>00109140504610</v>
      </c>
      <c r="O87" s="15"/>
    </row>
    <row r="88" spans="1:15" hidden="1" x14ac:dyDescent="0.25">
      <c r="A88" s="15" t="s">
        <v>258</v>
      </c>
      <c r="B88" s="29">
        <v>0</v>
      </c>
      <c r="C88" s="15">
        <v>81.849999999999994</v>
      </c>
      <c r="G88" s="15" t="str">
        <f t="shared" si="10"/>
        <v>00109140504620</v>
      </c>
      <c r="O88" s="15"/>
    </row>
    <row r="89" spans="1:15" hidden="1" x14ac:dyDescent="0.25">
      <c r="A89" s="15" t="s">
        <v>259</v>
      </c>
      <c r="B89" s="29">
        <v>0</v>
      </c>
      <c r="C89" s="15">
        <v>0</v>
      </c>
      <c r="G89" s="15" t="str">
        <f t="shared" si="10"/>
        <v>00109140504675</v>
      </c>
      <c r="O89" s="15"/>
    </row>
    <row r="90" spans="1:15" hidden="1" x14ac:dyDescent="0.25">
      <c r="A90" s="15" t="s">
        <v>260</v>
      </c>
      <c r="B90" s="29">
        <v>17516.18</v>
      </c>
      <c r="C90" s="15">
        <v>27713.49</v>
      </c>
      <c r="G90" s="15" t="str">
        <f t="shared" si="10"/>
        <v>00109140504680</v>
      </c>
      <c r="O90" s="15"/>
    </row>
    <row r="91" spans="1:15" hidden="1" x14ac:dyDescent="0.25">
      <c r="A91" s="15" t="s">
        <v>261</v>
      </c>
      <c r="B91" s="29">
        <v>1050</v>
      </c>
      <c r="C91" s="15">
        <v>3623.11</v>
      </c>
      <c r="G91" s="15" t="str">
        <f t="shared" si="10"/>
        <v>00109140504683</v>
      </c>
      <c r="O91" s="15"/>
    </row>
    <row r="92" spans="1:15" hidden="1" x14ac:dyDescent="0.25">
      <c r="A92" s="15" t="s">
        <v>262</v>
      </c>
      <c r="B92" s="29">
        <v>634.15</v>
      </c>
      <c r="C92" s="15">
        <v>801.45</v>
      </c>
      <c r="G92" s="15" t="str">
        <f t="shared" si="10"/>
        <v>00109140504699</v>
      </c>
    </row>
    <row r="93" spans="1:15" hidden="1" x14ac:dyDescent="0.25">
      <c r="A93" s="15" t="s">
        <v>263</v>
      </c>
      <c r="B93" s="29">
        <v>0</v>
      </c>
      <c r="C93" s="15">
        <v>0</v>
      </c>
      <c r="G93" s="15" t="e">
        <f t="shared" si="10"/>
        <v>#N/A</v>
      </c>
    </row>
    <row r="94" spans="1:15" hidden="1" x14ac:dyDescent="0.25">
      <c r="A94" s="15" t="s">
        <v>264</v>
      </c>
      <c r="B94" s="29">
        <v>0</v>
      </c>
      <c r="C94" s="15">
        <v>2864.91</v>
      </c>
      <c r="G94" s="15" t="str">
        <f t="shared" si="10"/>
        <v>00109140504810</v>
      </c>
    </row>
    <row r="95" spans="1:15" hidden="1" x14ac:dyDescent="0.25">
      <c r="A95" s="15" t="s">
        <v>265</v>
      </c>
      <c r="B95" s="29">
        <v>0</v>
      </c>
      <c r="C95" s="15">
        <v>0</v>
      </c>
      <c r="G95" s="15" t="e">
        <f t="shared" si="10"/>
        <v>#N/A</v>
      </c>
    </row>
    <row r="96" spans="1:15" hidden="1" x14ac:dyDescent="0.25">
      <c r="A96" s="15" t="s">
        <v>266</v>
      </c>
      <c r="B96" s="29">
        <v>0</v>
      </c>
      <c r="C96" s="15">
        <v>0</v>
      </c>
      <c r="G96" s="15" t="str">
        <f t="shared" si="10"/>
        <v>00109140504870</v>
      </c>
    </row>
    <row r="97" spans="1:7" hidden="1" x14ac:dyDescent="0.25">
      <c r="A97" s="15" t="s">
        <v>267</v>
      </c>
      <c r="B97" s="29">
        <v>505.17</v>
      </c>
      <c r="C97" s="15">
        <v>2159.35</v>
      </c>
      <c r="G97" s="15" t="str">
        <f t="shared" si="10"/>
        <v>00109140505201</v>
      </c>
    </row>
    <row r="98" spans="1:7" hidden="1" x14ac:dyDescent="0.25">
      <c r="A98" s="15" t="s">
        <v>268</v>
      </c>
      <c r="B98" s="29">
        <v>40953.22</v>
      </c>
      <c r="C98" s="15">
        <v>52140.44</v>
      </c>
      <c r="G98" s="15" t="str">
        <f t="shared" si="10"/>
        <v>00109140505220</v>
      </c>
    </row>
    <row r="99" spans="1:7" hidden="1" x14ac:dyDescent="0.25">
      <c r="A99" s="15" t="s">
        <v>269</v>
      </c>
      <c r="B99" s="29">
        <v>0</v>
      </c>
      <c r="C99" s="15">
        <v>0</v>
      </c>
      <c r="G99" s="15" t="str">
        <f t="shared" si="10"/>
        <v>00109140505250</v>
      </c>
    </row>
    <row r="100" spans="1:7" hidden="1" x14ac:dyDescent="0.25">
      <c r="A100" s="15" t="s">
        <v>270</v>
      </c>
      <c r="B100" s="29">
        <v>0</v>
      </c>
      <c r="C100" s="15">
        <v>0</v>
      </c>
      <c r="G100" s="15" t="str">
        <f t="shared" si="10"/>
        <v>00109140505260</v>
      </c>
    </row>
    <row r="101" spans="1:7" hidden="1" x14ac:dyDescent="0.25">
      <c r="A101" s="15" t="s">
        <v>271</v>
      </c>
      <c r="B101" s="29">
        <v>0</v>
      </c>
      <c r="C101" s="15">
        <v>0</v>
      </c>
      <c r="G101" s="15" t="str">
        <f t="shared" si="10"/>
        <v>00109140505505</v>
      </c>
    </row>
    <row r="102" spans="1:7" hidden="1" x14ac:dyDescent="0.25">
      <c r="A102" s="15" t="s">
        <v>272</v>
      </c>
      <c r="B102" s="29">
        <v>0</v>
      </c>
      <c r="C102" s="15">
        <v>0</v>
      </c>
      <c r="G102" s="15" t="str">
        <f t="shared" si="10"/>
        <v>00109140505532</v>
      </c>
    </row>
    <row r="103" spans="1:7" hidden="1" x14ac:dyDescent="0.25">
      <c r="A103" s="15" t="s">
        <v>273</v>
      </c>
      <c r="B103" s="29">
        <v>0</v>
      </c>
      <c r="C103" s="15">
        <v>0</v>
      </c>
      <c r="G103" s="15" t="str">
        <f t="shared" si="10"/>
        <v>00109140505540</v>
      </c>
    </row>
    <row r="104" spans="1:7" hidden="1" x14ac:dyDescent="0.25">
      <c r="A104" s="15" t="s">
        <v>274</v>
      </c>
      <c r="B104" s="29">
        <v>0</v>
      </c>
      <c r="C104" s="15">
        <v>0</v>
      </c>
      <c r="G104" s="15" t="str">
        <f t="shared" si="10"/>
        <v>00109140505550</v>
      </c>
    </row>
    <row r="105" spans="1:7" hidden="1" x14ac:dyDescent="0.25">
      <c r="A105" s="15" t="s">
        <v>275</v>
      </c>
      <c r="B105" s="29">
        <v>44014.13</v>
      </c>
      <c r="C105" s="15">
        <v>57793.95</v>
      </c>
      <c r="G105" s="15" t="str">
        <f t="shared" si="10"/>
        <v>00109140505602</v>
      </c>
    </row>
    <row r="106" spans="1:7" hidden="1" x14ac:dyDescent="0.25">
      <c r="A106" s="15" t="s">
        <v>276</v>
      </c>
      <c r="B106" s="29">
        <v>0</v>
      </c>
      <c r="C106" s="15">
        <v>0</v>
      </c>
      <c r="G106" s="15" t="str">
        <f t="shared" si="10"/>
        <v>00109140505710</v>
      </c>
    </row>
    <row r="107" spans="1:7" hidden="1" x14ac:dyDescent="0.25">
      <c r="A107" s="15" t="s">
        <v>277</v>
      </c>
      <c r="B107" s="29">
        <v>3002.67</v>
      </c>
      <c r="C107" s="15">
        <v>1400.68</v>
      </c>
      <c r="G107" s="15" t="str">
        <f t="shared" si="10"/>
        <v>00109140505750</v>
      </c>
    </row>
    <row r="108" spans="1:7" hidden="1" x14ac:dyDescent="0.25">
      <c r="A108" s="15" t="s">
        <v>278</v>
      </c>
      <c r="B108" s="29">
        <v>0</v>
      </c>
      <c r="C108" s="15">
        <v>5999</v>
      </c>
      <c r="G108" s="15" t="str">
        <f t="shared" si="10"/>
        <v>00109140505801</v>
      </c>
    </row>
    <row r="109" spans="1:7" hidden="1" x14ac:dyDescent="0.25">
      <c r="A109" s="15" t="s">
        <v>279</v>
      </c>
      <c r="B109" s="29">
        <v>0</v>
      </c>
      <c r="C109" s="15">
        <v>0</v>
      </c>
      <c r="G109" s="15" t="e">
        <f t="shared" si="10"/>
        <v>#N/A</v>
      </c>
    </row>
    <row r="110" spans="1:7" hidden="1" x14ac:dyDescent="0.25">
      <c r="A110" s="15" t="s">
        <v>280</v>
      </c>
      <c r="B110" s="29">
        <v>0</v>
      </c>
      <c r="C110" s="15">
        <v>0</v>
      </c>
      <c r="G110" s="15" t="e">
        <f t="shared" si="10"/>
        <v>#N/A</v>
      </c>
    </row>
    <row r="111" spans="1:7" hidden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9A6-0207-4A3F-B916-AC28903BA20C}">
  <sheetPr>
    <tabColor rgb="FF9966FF"/>
    <pageSetUpPr autoPageBreaks="0"/>
  </sheetPr>
  <dimension ref="A1:U246"/>
  <sheetViews>
    <sheetView showGridLines="0" zoomScaleNormal="100" zoomScaleSheetLayoutView="100" workbookViewId="0">
      <pane ySplit="10" topLeftCell="A57" activePane="bottomLeft" state="frozen"/>
      <selection activeCell="R10" sqref="R10"/>
      <selection pane="bottomLeft" activeCell="M66" sqref="M66:M124"/>
    </sheetView>
  </sheetViews>
  <sheetFormatPr defaultColWidth="9.140625" defaultRowHeight="15" x14ac:dyDescent="0.25"/>
  <cols>
    <col min="1" max="1" width="35.28515625" style="15" customWidth="1"/>
    <col min="2" max="2" width="11.570312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86" hidden="1" customWidth="1"/>
    <col min="16" max="16" width="1.7109375" style="2" hidden="1" customWidth="1"/>
    <col min="17" max="17" width="9.7109375" style="15" hidden="1" customWidth="1"/>
    <col min="18" max="18" width="26.7109375" customWidth="1"/>
    <col min="22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2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8"/>
      <c r="B3" s="80"/>
      <c r="C3" s="8"/>
      <c r="D3" s="8"/>
      <c r="G3" s="8"/>
      <c r="I3" s="81"/>
      <c r="K3" s="8"/>
      <c r="M3" s="8"/>
      <c r="N3" s="8"/>
      <c r="O3" s="82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2"/>
    </row>
    <row r="5" spans="1:18" ht="13.15" customHeight="1" x14ac:dyDescent="0.25">
      <c r="A5" s="83" t="s">
        <v>281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2"/>
    </row>
    <row r="6" spans="1:18" ht="13.15" customHeight="1" x14ac:dyDescent="0.25">
      <c r="A6" s="83" t="s">
        <v>282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2"/>
    </row>
    <row r="7" spans="1:18" ht="13.15" customHeight="1" x14ac:dyDescent="0.25">
      <c r="A7" s="115"/>
      <c r="B7" s="116"/>
      <c r="C7" s="115"/>
      <c r="D7" s="115"/>
      <c r="E7" s="117"/>
      <c r="F7" s="110"/>
      <c r="G7" s="115"/>
      <c r="H7" s="110"/>
      <c r="I7" s="118"/>
      <c r="J7" s="110"/>
      <c r="K7" s="115"/>
      <c r="L7" s="110"/>
      <c r="M7" s="115"/>
      <c r="Q7" s="115"/>
    </row>
    <row r="8" spans="1:18" x14ac:dyDescent="0.25">
      <c r="G8" s="18"/>
      <c r="H8" s="19"/>
      <c r="I8" s="20"/>
      <c r="J8" s="19"/>
      <c r="K8" s="18"/>
      <c r="L8" s="21" t="s">
        <v>4</v>
      </c>
      <c r="M8" s="22">
        <f>' 911 Admin'!M8</f>
        <v>2027</v>
      </c>
      <c r="N8" s="22"/>
      <c r="O8" s="22"/>
      <c r="P8" s="22"/>
      <c r="Q8" s="22"/>
    </row>
    <row r="9" spans="1:18" x14ac:dyDescent="0.25">
      <c r="C9" s="21"/>
      <c r="D9" s="21"/>
      <c r="E9" s="23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x14ac:dyDescent="0.25">
      <c r="B10" s="26" t="s">
        <v>8</v>
      </c>
      <c r="C10" s="26" t="s">
        <v>9</v>
      </c>
      <c r="D10" s="26" t="s">
        <v>10</v>
      </c>
      <c r="E10" s="23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3.5" customHeight="1" x14ac:dyDescent="0.25">
      <c r="A11" s="28" t="s">
        <v>16</v>
      </c>
      <c r="I11" s="15"/>
      <c r="M11" s="86"/>
      <c r="Q11" s="86"/>
    </row>
    <row r="12" spans="1:18" ht="24.95" customHeight="1" x14ac:dyDescent="0.25">
      <c r="A12" s="92" t="s">
        <v>283</v>
      </c>
      <c r="B12" s="93" t="s">
        <v>284</v>
      </c>
      <c r="C12" s="69">
        <v>501201</v>
      </c>
      <c r="D12" s="69"/>
      <c r="E12" s="94" t="str">
        <f>_xlfn.CONCAT(B12,C12,D12)</f>
        <v>00109160501201</v>
      </c>
      <c r="F12" s="42" t="s">
        <v>19</v>
      </c>
      <c r="G12" s="34">
        <f t="shared" ref="G12:G25" si="0">ROUND(IFERROR(VLOOKUP(_xlfn.CONCAT($B12,$C12,$D12),$A$134:$C$9994,3,FALSE),0),0)</f>
        <v>726081</v>
      </c>
      <c r="H12" s="42" t="s">
        <v>19</v>
      </c>
      <c r="I12" s="34">
        <f t="shared" ref="I12:I25" si="1">ROUND(IFERROR(VLOOKUP(_xlfn.CONCAT($B12,$C12,$D12),$A$134:$C$9994,2,FALSE),0),0)</f>
        <v>777930</v>
      </c>
      <c r="J12" s="42" t="s">
        <v>19</v>
      </c>
      <c r="K12" s="45">
        <v>790775</v>
      </c>
      <c r="L12" s="42" t="s">
        <v>19</v>
      </c>
      <c r="M12" s="45">
        <f>'[1]Payroll Summary by Department'!C64</f>
        <v>790775</v>
      </c>
      <c r="N12" s="67" t="s">
        <v>19</v>
      </c>
      <c r="O12" s="126">
        <f>M12</f>
        <v>790775</v>
      </c>
      <c r="P12" s="67" t="s">
        <v>19</v>
      </c>
      <c r="Q12" s="45">
        <f>O12</f>
        <v>790775</v>
      </c>
    </row>
    <row r="13" spans="1:18" ht="13.5" customHeight="1" x14ac:dyDescent="0.25">
      <c r="A13" s="40" t="s">
        <v>285</v>
      </c>
      <c r="B13" s="93" t="s">
        <v>284</v>
      </c>
      <c r="C13" s="69">
        <v>501290</v>
      </c>
      <c r="D13" s="69"/>
      <c r="E13" s="94" t="str">
        <f t="shared" ref="E13:E77" si="2">_xlfn.CONCAT(B13,C13,D13)</f>
        <v>00109160501290</v>
      </c>
      <c r="G13" s="34">
        <f t="shared" si="0"/>
        <v>0</v>
      </c>
      <c r="H13" s="67"/>
      <c r="I13" s="34">
        <f t="shared" si="1"/>
        <v>0</v>
      </c>
      <c r="J13" s="67"/>
      <c r="K13" s="45">
        <v>0</v>
      </c>
      <c r="L13" s="67"/>
      <c r="M13" s="45">
        <v>0</v>
      </c>
      <c r="N13" s="44"/>
      <c r="O13" s="126">
        <f t="shared" ref="O13:O42" si="3">M13</f>
        <v>0</v>
      </c>
      <c r="Q13" s="45">
        <f t="shared" ref="Q13:Q42" si="4">O13</f>
        <v>0</v>
      </c>
    </row>
    <row r="14" spans="1:18" ht="13.5" customHeight="1" x14ac:dyDescent="0.25">
      <c r="A14" s="92" t="s">
        <v>286</v>
      </c>
      <c r="B14" s="93" t="s">
        <v>284</v>
      </c>
      <c r="C14" s="42">
        <v>501305</v>
      </c>
      <c r="D14" s="42"/>
      <c r="E14" s="94" t="str">
        <f t="shared" si="2"/>
        <v>00109160501305</v>
      </c>
      <c r="G14" s="34">
        <f t="shared" si="0"/>
        <v>871410</v>
      </c>
      <c r="H14" s="67"/>
      <c r="I14" s="34">
        <f t="shared" si="1"/>
        <v>149587</v>
      </c>
      <c r="J14" s="67"/>
      <c r="K14" s="45">
        <v>0</v>
      </c>
      <c r="L14" s="67"/>
      <c r="M14" s="45">
        <v>0</v>
      </c>
      <c r="N14" s="44"/>
      <c r="O14" s="126">
        <f t="shared" si="3"/>
        <v>0</v>
      </c>
      <c r="Q14" s="45">
        <f t="shared" si="4"/>
        <v>0</v>
      </c>
    </row>
    <row r="15" spans="1:18" ht="13.5" customHeight="1" x14ac:dyDescent="0.25">
      <c r="A15" s="60" t="s">
        <v>287</v>
      </c>
      <c r="B15" s="93" t="s">
        <v>284</v>
      </c>
      <c r="C15" s="42">
        <v>501305</v>
      </c>
      <c r="D15" s="15" t="s">
        <v>288</v>
      </c>
      <c r="E15" s="94" t="str">
        <f t="shared" si="2"/>
        <v>00109160501305ABAIN</v>
      </c>
      <c r="G15" s="34">
        <f t="shared" si="0"/>
        <v>0</v>
      </c>
      <c r="H15" s="43"/>
      <c r="I15" s="34">
        <f t="shared" si="1"/>
        <v>213636</v>
      </c>
      <c r="J15" s="67"/>
      <c r="K15" s="45">
        <v>225000</v>
      </c>
      <c r="L15" s="67"/>
      <c r="M15" s="45">
        <v>225000</v>
      </c>
      <c r="N15" s="44"/>
      <c r="O15" s="126">
        <f t="shared" si="3"/>
        <v>225000</v>
      </c>
      <c r="Q15" s="45">
        <f t="shared" si="4"/>
        <v>225000</v>
      </c>
    </row>
    <row r="16" spans="1:18" ht="13.5" customHeight="1" x14ac:dyDescent="0.25">
      <c r="A16" s="60" t="s">
        <v>289</v>
      </c>
      <c r="B16" s="93" t="s">
        <v>284</v>
      </c>
      <c r="C16" s="42">
        <v>501305</v>
      </c>
      <c r="D16" s="15" t="s">
        <v>290</v>
      </c>
      <c r="E16" s="94" t="str">
        <f t="shared" si="2"/>
        <v>00109160501305AFAIN</v>
      </c>
      <c r="G16" s="34">
        <f t="shared" si="0"/>
        <v>0</v>
      </c>
      <c r="H16" s="43"/>
      <c r="I16" s="34">
        <f t="shared" si="1"/>
        <v>53685</v>
      </c>
      <c r="J16" s="67"/>
      <c r="K16" s="45">
        <v>75000</v>
      </c>
      <c r="L16" s="67"/>
      <c r="M16" s="45">
        <v>75000</v>
      </c>
      <c r="N16" s="44"/>
      <c r="O16" s="126">
        <f t="shared" si="3"/>
        <v>75000</v>
      </c>
      <c r="Q16" s="45">
        <f t="shared" si="4"/>
        <v>75000</v>
      </c>
    </row>
    <row r="17" spans="1:17" ht="13.5" customHeight="1" x14ac:dyDescent="0.25">
      <c r="A17" s="60" t="s">
        <v>291</v>
      </c>
      <c r="B17" s="93" t="s">
        <v>284</v>
      </c>
      <c r="C17" s="42">
        <v>501305</v>
      </c>
      <c r="D17" s="15" t="s">
        <v>292</v>
      </c>
      <c r="E17" s="94" t="str">
        <f t="shared" si="2"/>
        <v>00109160501305TEENL</v>
      </c>
      <c r="G17" s="34">
        <f t="shared" si="0"/>
        <v>0</v>
      </c>
      <c r="H17" s="67"/>
      <c r="I17" s="34">
        <f t="shared" si="1"/>
        <v>13306</v>
      </c>
      <c r="J17" s="67"/>
      <c r="K17" s="45">
        <v>12600</v>
      </c>
      <c r="L17" s="67"/>
      <c r="M17" s="45">
        <v>12600</v>
      </c>
      <c r="N17" s="44"/>
      <c r="O17" s="126">
        <f t="shared" si="3"/>
        <v>12600</v>
      </c>
      <c r="Q17" s="45">
        <f t="shared" si="4"/>
        <v>12600</v>
      </c>
    </row>
    <row r="18" spans="1:17" ht="13.5" customHeight="1" x14ac:dyDescent="0.25">
      <c r="A18" s="60" t="s">
        <v>293</v>
      </c>
      <c r="B18" s="93" t="s">
        <v>284</v>
      </c>
      <c r="C18" s="42">
        <v>501305</v>
      </c>
      <c r="D18" s="15" t="s">
        <v>294</v>
      </c>
      <c r="E18" s="94" t="str">
        <f t="shared" si="2"/>
        <v>00109160501305TEENA</v>
      </c>
      <c r="G18" s="34">
        <f t="shared" si="0"/>
        <v>0</v>
      </c>
      <c r="H18" s="67"/>
      <c r="I18" s="34">
        <f t="shared" si="1"/>
        <v>10350</v>
      </c>
      <c r="J18" s="67"/>
      <c r="K18" s="45">
        <v>11500</v>
      </c>
      <c r="L18" s="67"/>
      <c r="M18" s="45">
        <v>11500</v>
      </c>
      <c r="N18" s="44"/>
      <c r="O18" s="126">
        <f t="shared" si="3"/>
        <v>11500</v>
      </c>
      <c r="Q18" s="45">
        <f t="shared" si="4"/>
        <v>11500</v>
      </c>
    </row>
    <row r="19" spans="1:17" ht="13.5" customHeight="1" x14ac:dyDescent="0.25">
      <c r="A19" s="60" t="s">
        <v>295</v>
      </c>
      <c r="B19" s="93" t="s">
        <v>284</v>
      </c>
      <c r="C19" s="42">
        <v>501305</v>
      </c>
      <c r="D19" s="15" t="s">
        <v>296</v>
      </c>
      <c r="E19" s="94" t="str">
        <f t="shared" si="2"/>
        <v>00109160501305BUSDR</v>
      </c>
      <c r="G19" s="34">
        <f t="shared" si="0"/>
        <v>0</v>
      </c>
      <c r="H19" s="67"/>
      <c r="I19" s="34">
        <f t="shared" si="1"/>
        <v>8134</v>
      </c>
      <c r="J19" s="67"/>
      <c r="K19" s="45">
        <v>10000</v>
      </c>
      <c r="L19" s="67"/>
      <c r="M19" s="45">
        <v>10000</v>
      </c>
      <c r="N19" s="44"/>
      <c r="O19" s="126">
        <f t="shared" si="3"/>
        <v>10000</v>
      </c>
      <c r="Q19" s="45">
        <f t="shared" si="4"/>
        <v>10000</v>
      </c>
    </row>
    <row r="20" spans="1:17" ht="13.5" customHeight="1" x14ac:dyDescent="0.25">
      <c r="A20" s="60" t="s">
        <v>297</v>
      </c>
      <c r="B20" s="93" t="s">
        <v>284</v>
      </c>
      <c r="C20" s="42">
        <v>501305</v>
      </c>
      <c r="D20" s="15" t="s">
        <v>298</v>
      </c>
      <c r="E20" s="94" t="str">
        <f t="shared" si="2"/>
        <v>00109160501305PLAYL</v>
      </c>
      <c r="G20" s="34">
        <f t="shared" si="0"/>
        <v>0</v>
      </c>
      <c r="H20" s="67"/>
      <c r="I20" s="34">
        <f t="shared" si="1"/>
        <v>29850</v>
      </c>
      <c r="J20" s="67"/>
      <c r="K20" s="45">
        <v>28000</v>
      </c>
      <c r="L20" s="67"/>
      <c r="M20" s="45">
        <v>28000</v>
      </c>
      <c r="N20" s="44"/>
      <c r="O20" s="126">
        <f t="shared" si="3"/>
        <v>28000</v>
      </c>
      <c r="Q20" s="45">
        <f t="shared" si="4"/>
        <v>28000</v>
      </c>
    </row>
    <row r="21" spans="1:17" ht="13.5" customHeight="1" x14ac:dyDescent="0.25">
      <c r="A21" s="60" t="s">
        <v>299</v>
      </c>
      <c r="B21" s="93" t="s">
        <v>284</v>
      </c>
      <c r="C21" s="42">
        <v>501305</v>
      </c>
      <c r="D21" s="15" t="s">
        <v>300</v>
      </c>
      <c r="E21" s="94" t="str">
        <f t="shared" si="2"/>
        <v>00109160501305PLAYA</v>
      </c>
      <c r="G21" s="34">
        <f t="shared" si="0"/>
        <v>0</v>
      </c>
      <c r="H21" s="67"/>
      <c r="I21" s="34">
        <f t="shared" si="1"/>
        <v>111330</v>
      </c>
      <c r="J21" s="67"/>
      <c r="K21" s="45">
        <v>124000</v>
      </c>
      <c r="L21" s="67"/>
      <c r="M21" s="45">
        <v>124000</v>
      </c>
      <c r="N21" s="44"/>
      <c r="O21" s="126">
        <f t="shared" si="3"/>
        <v>124000</v>
      </c>
      <c r="Q21" s="45">
        <f t="shared" si="4"/>
        <v>124000</v>
      </c>
    </row>
    <row r="22" spans="1:17" ht="13.5" customHeight="1" x14ac:dyDescent="0.25">
      <c r="A22" s="60" t="s">
        <v>301</v>
      </c>
      <c r="B22" s="93" t="s">
        <v>284</v>
      </c>
      <c r="C22" s="42">
        <v>501305</v>
      </c>
      <c r="D22" s="15" t="s">
        <v>302</v>
      </c>
      <c r="E22" s="94" t="str">
        <f t="shared" si="2"/>
        <v>00109160501305EXERC</v>
      </c>
      <c r="G22" s="34">
        <f t="shared" si="0"/>
        <v>0</v>
      </c>
      <c r="H22" s="67"/>
      <c r="I22" s="34">
        <f t="shared" si="1"/>
        <v>76190</v>
      </c>
      <c r="J22" s="67"/>
      <c r="K22" s="45">
        <v>81000</v>
      </c>
      <c r="L22" s="67"/>
      <c r="M22" s="45">
        <v>81000</v>
      </c>
      <c r="N22" s="44"/>
      <c r="O22" s="126">
        <f t="shared" si="3"/>
        <v>81000</v>
      </c>
      <c r="Q22" s="45">
        <f t="shared" si="4"/>
        <v>81000</v>
      </c>
    </row>
    <row r="23" spans="1:17" ht="13.5" customHeight="1" x14ac:dyDescent="0.25">
      <c r="A23" s="60" t="s">
        <v>303</v>
      </c>
      <c r="B23" s="93" t="s">
        <v>284</v>
      </c>
      <c r="C23" s="42">
        <v>501305</v>
      </c>
      <c r="D23" s="15" t="s">
        <v>304</v>
      </c>
      <c r="E23" s="94" t="str">
        <f t="shared" si="2"/>
        <v>00109160501305RECW</v>
      </c>
      <c r="G23" s="34">
        <f t="shared" si="0"/>
        <v>0</v>
      </c>
      <c r="H23" s="67"/>
      <c r="I23" s="34">
        <f t="shared" si="1"/>
        <v>35398</v>
      </c>
      <c r="J23" s="67"/>
      <c r="K23" s="45">
        <v>58500</v>
      </c>
      <c r="L23" s="67"/>
      <c r="M23" s="45">
        <v>58500</v>
      </c>
      <c r="N23" s="44"/>
      <c r="O23" s="126">
        <f t="shared" si="3"/>
        <v>58500</v>
      </c>
      <c r="Q23" s="45">
        <f t="shared" si="4"/>
        <v>58500</v>
      </c>
    </row>
    <row r="24" spans="1:17" ht="13.5" customHeight="1" x14ac:dyDescent="0.25">
      <c r="A24" s="60" t="s">
        <v>305</v>
      </c>
      <c r="B24" s="93" t="s">
        <v>284</v>
      </c>
      <c r="C24" s="42">
        <v>501305</v>
      </c>
      <c r="D24" s="15" t="s">
        <v>306</v>
      </c>
      <c r="E24" s="94" t="str">
        <f t="shared" si="2"/>
        <v>00109160501305ABLIN</v>
      </c>
      <c r="G24" s="34">
        <f t="shared" si="0"/>
        <v>0</v>
      </c>
      <c r="H24" s="67"/>
      <c r="I24" s="34">
        <f t="shared" si="1"/>
        <v>14610</v>
      </c>
      <c r="J24" s="67"/>
      <c r="K24" s="45">
        <v>30000</v>
      </c>
      <c r="L24" s="67"/>
      <c r="M24" s="45">
        <v>30000</v>
      </c>
      <c r="N24" s="44"/>
      <c r="O24" s="126">
        <f t="shared" si="3"/>
        <v>30000</v>
      </c>
      <c r="Q24" s="45">
        <f t="shared" si="4"/>
        <v>30000</v>
      </c>
    </row>
    <row r="25" spans="1:17" ht="13.5" customHeight="1" x14ac:dyDescent="0.25">
      <c r="A25" s="60" t="s">
        <v>307</v>
      </c>
      <c r="B25" s="93" t="s">
        <v>284</v>
      </c>
      <c r="C25" s="42"/>
      <c r="E25" s="94" t="str">
        <f t="shared" si="2"/>
        <v>00109160</v>
      </c>
      <c r="G25" s="34">
        <f t="shared" si="0"/>
        <v>0</v>
      </c>
      <c r="H25" s="107"/>
      <c r="I25" s="34">
        <f t="shared" si="1"/>
        <v>0</v>
      </c>
      <c r="J25" s="107"/>
      <c r="K25" s="72">
        <v>0</v>
      </c>
      <c r="L25" s="107"/>
      <c r="M25" s="72">
        <v>0</v>
      </c>
      <c r="N25" s="44"/>
      <c r="O25" s="126">
        <f t="shared" si="3"/>
        <v>0</v>
      </c>
      <c r="Q25" s="45">
        <f t="shared" si="4"/>
        <v>0</v>
      </c>
    </row>
    <row r="26" spans="1:17" ht="13.5" customHeight="1" x14ac:dyDescent="0.25">
      <c r="A26" s="40" t="s">
        <v>308</v>
      </c>
      <c r="B26" s="93" t="s">
        <v>284</v>
      </c>
      <c r="C26" s="42">
        <v>501312</v>
      </c>
      <c r="D26" s="15" t="s">
        <v>309</v>
      </c>
      <c r="E26" s="94" t="str">
        <f t="shared" si="2"/>
        <v>00109160501312LIFEG</v>
      </c>
      <c r="G26" s="34">
        <f>ROUND(IFERROR(VLOOKUP(_xlfn.CONCAT($B26,$C26,$D26),$A$134:$C$9994,3,FALSE),0),0)+ROUND(IFERROR(VLOOKUP("00109160501312",$A$134:$C$9994,3,FALSE),0),0)</f>
        <v>244063</v>
      </c>
      <c r="H26" s="107"/>
      <c r="I26" s="34">
        <f>ROUND(IFERROR(VLOOKUP(_xlfn.CONCAT($B26,$C26,$D26),$A$134:$C$9994,2,FALSE),0),0)+ROUND(IFERROR(VLOOKUP("00109160501312",$A$134:$C$9994,2,FALSE),0),0)</f>
        <v>221714</v>
      </c>
      <c r="J26" s="107"/>
      <c r="K26" s="72">
        <v>218000</v>
      </c>
      <c r="L26" s="107"/>
      <c r="M26" s="72">
        <v>218000</v>
      </c>
      <c r="N26" s="44"/>
      <c r="O26" s="126">
        <f t="shared" si="3"/>
        <v>218000</v>
      </c>
      <c r="Q26" s="45">
        <f t="shared" si="4"/>
        <v>218000</v>
      </c>
    </row>
    <row r="27" spans="1:17" ht="13.5" customHeight="1" x14ac:dyDescent="0.25">
      <c r="A27" s="40" t="s">
        <v>310</v>
      </c>
      <c r="B27" s="93" t="s">
        <v>284</v>
      </c>
      <c r="C27" s="42">
        <v>501313</v>
      </c>
      <c r="D27" s="42"/>
      <c r="E27" s="94" t="str">
        <f t="shared" si="2"/>
        <v>00109160501313</v>
      </c>
      <c r="G27" s="34">
        <f>ROUND(IFERROR(VLOOKUP(_xlfn.CONCAT($B27,$C27,$D27),$A$134:$C$9994,3,FALSE),0),0)</f>
        <v>0</v>
      </c>
      <c r="H27" s="67"/>
      <c r="I27" s="34">
        <f>ROUND(IFERROR(VLOOKUP(_xlfn.CONCAT($B27,$C27,$D27),$A$134:$C$9994,2,FALSE),0),0)</f>
        <v>0</v>
      </c>
      <c r="J27" s="67"/>
      <c r="K27" s="45">
        <v>0</v>
      </c>
      <c r="L27" s="67"/>
      <c r="M27" s="45">
        <v>0</v>
      </c>
      <c r="N27" s="44"/>
      <c r="O27" s="126">
        <f t="shared" si="3"/>
        <v>0</v>
      </c>
      <c r="Q27" s="45">
        <f t="shared" si="4"/>
        <v>0</v>
      </c>
    </row>
    <row r="28" spans="1:17" ht="13.5" customHeight="1" x14ac:dyDescent="0.25">
      <c r="A28" s="40" t="s">
        <v>311</v>
      </c>
      <c r="B28" s="93" t="s">
        <v>284</v>
      </c>
      <c r="C28" s="42">
        <v>501314</v>
      </c>
      <c r="D28" s="71" t="s">
        <v>312</v>
      </c>
      <c r="E28" s="94" t="str">
        <f t="shared" si="2"/>
        <v>00109160501314TRVLB</v>
      </c>
      <c r="G28" s="34">
        <f>ROUND(IFERROR(VLOOKUP(_xlfn.CONCAT($B28,$C28,$D28),$A$134:$C$9994,3,FALSE),0),0)</f>
        <v>0</v>
      </c>
      <c r="H28" s="67"/>
      <c r="I28" s="34">
        <f>ROUND(IFERROR(VLOOKUP(_xlfn.CONCAT($B28,$C28,$D28),$A$134:$C$9994,2,FALSE),0),0)</f>
        <v>61979</v>
      </c>
      <c r="J28" s="67"/>
      <c r="K28" s="45">
        <v>98250</v>
      </c>
      <c r="L28" s="67"/>
      <c r="M28" s="45">
        <v>98250</v>
      </c>
      <c r="N28" s="44"/>
      <c r="O28" s="126">
        <f t="shared" si="3"/>
        <v>98250</v>
      </c>
      <c r="Q28" s="45">
        <f t="shared" si="4"/>
        <v>98250</v>
      </c>
    </row>
    <row r="29" spans="1:17" ht="13.5" customHeight="1" x14ac:dyDescent="0.25">
      <c r="A29" s="40" t="s">
        <v>313</v>
      </c>
      <c r="B29" s="93" t="s">
        <v>284</v>
      </c>
      <c r="C29" s="42">
        <v>501314</v>
      </c>
      <c r="D29" s="42" t="s">
        <v>314</v>
      </c>
      <c r="E29" s="94" t="str">
        <f t="shared" si="2"/>
        <v>00109160501314BRUTH</v>
      </c>
      <c r="G29" s="34">
        <f>ROUND(IFERROR(VLOOKUP(_xlfn.CONCAT($B29,$C29,$D29),$A$134:$C$9994,3,FALSE),0),0)+ROUND(IFERROR(VLOOKUP("00109160501314",$A$134:$C$9994,3,FALSE),0),0)</f>
        <v>114216</v>
      </c>
      <c r="H29" s="67"/>
      <c r="I29" s="34">
        <f>ROUND(IFERROR(VLOOKUP(_xlfn.CONCAT($B29,$C29,$D29),$A$134:$C$9994,2,FALSE),0),0)+ROUND(IFERROR(VLOOKUP("00109160501314",$A$134:$C$9994,2,FALSE),0),0)</f>
        <v>47537</v>
      </c>
      <c r="J29" s="67"/>
      <c r="K29" s="45">
        <v>20000</v>
      </c>
      <c r="L29" s="67"/>
      <c r="M29" s="45">
        <v>20000</v>
      </c>
      <c r="N29" s="44"/>
      <c r="O29" s="126">
        <f>M29</f>
        <v>20000</v>
      </c>
      <c r="Q29" s="45">
        <f t="shared" si="4"/>
        <v>20000</v>
      </c>
    </row>
    <row r="30" spans="1:17" ht="13.5" customHeight="1" x14ac:dyDescent="0.25">
      <c r="A30" s="40" t="s">
        <v>21</v>
      </c>
      <c r="B30" s="93" t="s">
        <v>284</v>
      </c>
      <c r="C30" s="69">
        <v>501400</v>
      </c>
      <c r="D30" s="69"/>
      <c r="E30" s="94" t="str">
        <f t="shared" si="2"/>
        <v>00109160501400</v>
      </c>
      <c r="G30" s="34">
        <f t="shared" ref="G30:G38" si="5">ROUND(IFERROR(VLOOKUP(_xlfn.CONCAT($B30,$C30,$D30),$A$134:$C$9994,3,FALSE),0),0)</f>
        <v>8148</v>
      </c>
      <c r="H30" s="67"/>
      <c r="I30" s="34">
        <f t="shared" ref="I30:I38" si="6">ROUND(IFERROR(VLOOKUP(_xlfn.CONCAT($B30,$C30,$D30),$A$134:$C$9994,2,FALSE),0),0)</f>
        <v>12828</v>
      </c>
      <c r="J30" s="67"/>
      <c r="K30" s="45">
        <v>8000</v>
      </c>
      <c r="L30" s="67"/>
      <c r="M30" s="45">
        <v>8000</v>
      </c>
      <c r="N30" s="44"/>
      <c r="O30" s="126">
        <f t="shared" si="3"/>
        <v>8000</v>
      </c>
      <c r="Q30" s="45">
        <f t="shared" si="4"/>
        <v>8000</v>
      </c>
    </row>
    <row r="31" spans="1:17" ht="13.5" customHeight="1" x14ac:dyDescent="0.25">
      <c r="A31" s="40" t="s">
        <v>315</v>
      </c>
      <c r="B31" s="93" t="s">
        <v>284</v>
      </c>
      <c r="C31" s="69">
        <v>501400</v>
      </c>
      <c r="D31" s="15" t="s">
        <v>300</v>
      </c>
      <c r="E31" s="94" t="str">
        <f t="shared" si="2"/>
        <v>00109160501400PLAYA</v>
      </c>
      <c r="G31" s="34">
        <f t="shared" si="5"/>
        <v>0</v>
      </c>
      <c r="H31" s="67"/>
      <c r="I31" s="34">
        <f t="shared" si="6"/>
        <v>360</v>
      </c>
      <c r="J31" s="67"/>
      <c r="K31" s="45">
        <v>0</v>
      </c>
      <c r="L31" s="67"/>
      <c r="M31" s="45">
        <v>0</v>
      </c>
      <c r="N31" s="44"/>
      <c r="O31" s="126">
        <f t="shared" si="3"/>
        <v>0</v>
      </c>
      <c r="Q31" s="45">
        <f t="shared" si="4"/>
        <v>0</v>
      </c>
    </row>
    <row r="32" spans="1:17" ht="13.5" customHeight="1" x14ac:dyDescent="0.25">
      <c r="A32" s="40" t="s">
        <v>22</v>
      </c>
      <c r="B32" s="93" t="s">
        <v>284</v>
      </c>
      <c r="C32" s="69">
        <v>501401</v>
      </c>
      <c r="D32" s="69"/>
      <c r="E32" s="94" t="str">
        <f t="shared" si="2"/>
        <v>00109160501401</v>
      </c>
      <c r="G32" s="34">
        <f t="shared" si="5"/>
        <v>0</v>
      </c>
      <c r="H32" s="67"/>
      <c r="I32" s="34">
        <f t="shared" si="6"/>
        <v>0</v>
      </c>
      <c r="J32" s="67"/>
      <c r="K32" s="45">
        <v>100</v>
      </c>
      <c r="L32" s="67"/>
      <c r="M32" s="45">
        <v>100</v>
      </c>
      <c r="N32" s="44"/>
      <c r="O32" s="126">
        <f t="shared" si="3"/>
        <v>100</v>
      </c>
      <c r="Q32" s="45">
        <f t="shared" si="4"/>
        <v>100</v>
      </c>
    </row>
    <row r="33" spans="1:17" ht="13.5" customHeight="1" x14ac:dyDescent="0.25">
      <c r="A33" s="40" t="s">
        <v>23</v>
      </c>
      <c r="B33" s="93" t="s">
        <v>284</v>
      </c>
      <c r="C33" s="69">
        <v>501600</v>
      </c>
      <c r="D33" s="69"/>
      <c r="E33" s="94" t="str">
        <f t="shared" si="2"/>
        <v>00109160501600</v>
      </c>
      <c r="G33" s="34">
        <f t="shared" si="5"/>
        <v>5454</v>
      </c>
      <c r="H33" s="43"/>
      <c r="I33" s="34">
        <f t="shared" si="6"/>
        <v>1755</v>
      </c>
      <c r="J33" s="43"/>
      <c r="K33" s="45">
        <v>5200</v>
      </c>
      <c r="L33" s="43"/>
      <c r="M33" s="45">
        <v>5200</v>
      </c>
      <c r="N33" s="44"/>
      <c r="O33" s="126">
        <f t="shared" si="3"/>
        <v>5200</v>
      </c>
      <c r="Q33" s="45">
        <f t="shared" si="4"/>
        <v>5200</v>
      </c>
    </row>
    <row r="34" spans="1:17" ht="13.5" customHeight="1" x14ac:dyDescent="0.25">
      <c r="A34" s="40" t="s">
        <v>24</v>
      </c>
      <c r="B34" s="93" t="s">
        <v>284</v>
      </c>
      <c r="C34" s="41">
        <v>501701</v>
      </c>
      <c r="D34" s="41"/>
      <c r="E34" s="94" t="str">
        <f t="shared" si="2"/>
        <v>00109160501701</v>
      </c>
      <c r="G34" s="34">
        <f t="shared" si="5"/>
        <v>0</v>
      </c>
      <c r="H34" s="67"/>
      <c r="I34" s="34">
        <f t="shared" si="6"/>
        <v>0</v>
      </c>
      <c r="J34" s="67"/>
      <c r="K34" s="45">
        <v>0</v>
      </c>
      <c r="L34" s="67"/>
      <c r="M34" s="45">
        <f>'[1]Payroll Summary by Department'!K64</f>
        <v>0</v>
      </c>
      <c r="N34" s="44"/>
      <c r="O34" s="126">
        <f t="shared" si="3"/>
        <v>0</v>
      </c>
      <c r="Q34" s="45">
        <f t="shared" si="4"/>
        <v>0</v>
      </c>
    </row>
    <row r="35" spans="1:17" ht="13.5" customHeight="1" x14ac:dyDescent="0.25">
      <c r="A35" s="40" t="s">
        <v>25</v>
      </c>
      <c r="B35" s="93" t="s">
        <v>284</v>
      </c>
      <c r="C35" s="41">
        <v>501702</v>
      </c>
      <c r="D35" s="41"/>
      <c r="E35" s="94" t="str">
        <f t="shared" si="2"/>
        <v>00109160501702</v>
      </c>
      <c r="G35" s="34">
        <f t="shared" si="5"/>
        <v>4400</v>
      </c>
      <c r="H35" s="67"/>
      <c r="I35" s="34">
        <f t="shared" si="6"/>
        <v>4981</v>
      </c>
      <c r="J35" s="67"/>
      <c r="K35" s="45">
        <v>4800</v>
      </c>
      <c r="L35" s="67"/>
      <c r="M35" s="45">
        <f>'[1]Payroll Summary by Department'!L64</f>
        <v>4800</v>
      </c>
      <c r="N35" s="44"/>
      <c r="O35" s="126">
        <f t="shared" si="3"/>
        <v>4800</v>
      </c>
      <c r="Q35" s="45">
        <f t="shared" si="4"/>
        <v>4800</v>
      </c>
    </row>
    <row r="36" spans="1:17" ht="13.5" customHeight="1" x14ac:dyDescent="0.25">
      <c r="A36" s="40" t="s">
        <v>26</v>
      </c>
      <c r="B36" s="93" t="s">
        <v>284</v>
      </c>
      <c r="C36" s="41">
        <v>501800</v>
      </c>
      <c r="D36" s="41"/>
      <c r="E36" s="94" t="str">
        <f t="shared" si="2"/>
        <v>00109160501800</v>
      </c>
      <c r="G36" s="34">
        <f t="shared" si="5"/>
        <v>0</v>
      </c>
      <c r="H36" s="43"/>
      <c r="I36" s="34">
        <f t="shared" si="6"/>
        <v>0</v>
      </c>
      <c r="J36" s="43"/>
      <c r="K36" s="45">
        <v>0</v>
      </c>
      <c r="L36" s="67"/>
      <c r="M36" s="45">
        <v>0</v>
      </c>
      <c r="N36" s="44"/>
      <c r="O36" s="126">
        <f t="shared" si="3"/>
        <v>0</v>
      </c>
      <c r="Q36" s="45">
        <f t="shared" si="4"/>
        <v>0</v>
      </c>
    </row>
    <row r="37" spans="1:17" ht="13.5" customHeight="1" x14ac:dyDescent="0.25">
      <c r="A37" s="40" t="s">
        <v>316</v>
      </c>
      <c r="B37" s="93" t="s">
        <v>284</v>
      </c>
      <c r="C37" s="41">
        <v>501900</v>
      </c>
      <c r="D37" s="41" t="s">
        <v>317</v>
      </c>
      <c r="E37" s="94" t="str">
        <f t="shared" si="2"/>
        <v>001091605019006.01N</v>
      </c>
      <c r="G37" s="34">
        <f t="shared" si="5"/>
        <v>0</v>
      </c>
      <c r="H37" s="43"/>
      <c r="I37" s="34">
        <f t="shared" si="6"/>
        <v>0</v>
      </c>
      <c r="J37" s="43"/>
      <c r="K37" s="45">
        <v>0</v>
      </c>
      <c r="L37" s="67"/>
      <c r="M37" s="45">
        <v>0</v>
      </c>
      <c r="N37" s="44"/>
      <c r="O37" s="126">
        <f t="shared" si="3"/>
        <v>0</v>
      </c>
      <c r="Q37" s="45">
        <f t="shared" si="4"/>
        <v>0</v>
      </c>
    </row>
    <row r="38" spans="1:17" ht="13.5" customHeight="1" x14ac:dyDescent="0.25">
      <c r="A38" s="40" t="s">
        <v>318</v>
      </c>
      <c r="B38" s="93" t="s">
        <v>284</v>
      </c>
      <c r="C38" s="41">
        <v>501900</v>
      </c>
      <c r="D38" s="41" t="s">
        <v>319</v>
      </c>
      <c r="E38" s="94" t="str">
        <f t="shared" si="2"/>
        <v>001091605019006.01O</v>
      </c>
      <c r="G38" s="34">
        <f t="shared" si="5"/>
        <v>0</v>
      </c>
      <c r="H38" s="43"/>
      <c r="I38" s="34">
        <f t="shared" si="6"/>
        <v>0</v>
      </c>
      <c r="J38" s="43"/>
      <c r="K38" s="45">
        <v>0</v>
      </c>
      <c r="L38" s="67"/>
      <c r="M38" s="45">
        <v>0</v>
      </c>
      <c r="N38" s="44"/>
      <c r="O38" s="126">
        <f t="shared" si="3"/>
        <v>0</v>
      </c>
      <c r="Q38" s="45">
        <f t="shared" si="4"/>
        <v>0</v>
      </c>
    </row>
    <row r="39" spans="1:17" ht="13.5" customHeight="1" x14ac:dyDescent="0.25">
      <c r="A39" s="40" t="s">
        <v>27</v>
      </c>
      <c r="B39" s="93" t="s">
        <v>284</v>
      </c>
      <c r="C39" s="69">
        <v>502100</v>
      </c>
      <c r="D39" s="69"/>
      <c r="E39" s="94" t="str">
        <f t="shared" si="2"/>
        <v>00109160502100</v>
      </c>
      <c r="G39" s="34">
        <f>ROUND(IFERROR(VLOOKUP(_xlfn.CONCAT($B39,$C39,$D39),$A$134:$C$9994,3,FALSE),0),0)+ROUND(IFERROR(VLOOKUP("00109160502100ABAIN",$A$134:$C$9994,3,FALSE),0),0)+ROUND(IFERROR(VLOOKUP("00109160502100ABLIN",$A$134:$C$9994,3,FALSE),0),0)+ROUND(IFERROR(VLOOKUP("00109160502100AFAIN",$A$134:$C$9994,3,FALSE),0),0)+ROUND(IFERROR(VLOOKUP("00109160502100BRUTH",$A$134:$C$9994,3,FALSE),0),0)+ROUND(IFERROR(VLOOKUP("00109160502100BUSDR",$A$134:$C$9994,3,FALSE),0),0)+ROUND(IFERROR(VLOOKUP("00109160502100CIALS",$A$134:$C$9994,3,FALSE),0),0)+ROUND(IFERROR(VLOOKUP("00109160502100EXERC",$A$134:$C$9994,3,FALSE),0),0)+ROUND(IFERROR(VLOOKUP("00109160502100LIFEG",$A$134:$C$9994,3,FALSE),0),0)+ROUND(IFERROR(VLOOKUP("00109160502100PLAYA",$A$134:$C$9994,3,FALSE),0),0)+ROUND(IFERROR(VLOOKUP("00109160502100PLAYL",$A$134:$C$9994,3,FALSE),0),0)+ROUND(IFERROR(VLOOKUP("00109160502100RECW",$A$134:$C$9994,3,FALSE),0),0)+ROUND(IFERROR(VLOOKUP("00109160502100TEENA",$A$134:$C$9994,3,FALSE),0),0)+ROUND(IFERROR(VLOOKUP("00109160502100TEENL",$A$134:$C$9994,3,FALSE),0),0)+ROUND(IFERROR(VLOOKUP("00109160502100TRVLB",$A$134:$C$9994,3,FALSE),0),0)</f>
        <v>150086</v>
      </c>
      <c r="H39" s="67"/>
      <c r="I39" s="34">
        <f>ROUND(IFERROR(VLOOKUP(_xlfn.CONCAT($B39,$C39,$D39),$A$134:$C$9994,2,FALSE),0),0)+ROUND(IFERROR(VLOOKUP("00109160502100ABAIN",$A$134:$C$9994,2,FALSE),0),0)+ROUND(IFERROR(VLOOKUP("00109160502100ABLIN",$A$134:$C$9994,2,FALSE),0),0)+ROUND(IFERROR(VLOOKUP("00109160502100AFAIN",$A$134:$C$9994,2,FALSE),0),0)+ROUND(IFERROR(VLOOKUP("00109160502100BRUTH",$A$134:$C$9994,2,FALSE),0),0)+ROUND(IFERROR(VLOOKUP("00109160502100BUSDR",$A$134:$C$9994,2,FALSE),0),0)+ROUND(IFERROR(VLOOKUP("00109160502100CIALS",$A$134:$C$9994,2,FALSE),0),0)+ROUND(IFERROR(VLOOKUP("00109160502100EXERC",$A$134:$C$9994,2,FALSE),0),0)+ROUND(IFERROR(VLOOKUP("00109160502100LIFEG",$A$134:$C$9994,2,FALSE),0),0)+ROUND(IFERROR(VLOOKUP("00109160502100PLAYA",$A$134:$C$9994,2,FALSE),0),0)+ROUND(IFERROR(VLOOKUP("00109160502100PLAYL",$A$134:$C$9994,2,FALSE),0),0)+ROUND(IFERROR(VLOOKUP("00109160502100RECW",$A$134:$C$9994,2,FALSE),0),0)+ROUND(IFERROR(VLOOKUP("00109160502100TEENA",$A$134:$C$9994,2,FALSE),0),0)+ROUND(IFERROR(VLOOKUP("00109160502100TEENL",$A$134:$C$9994,2,FALSE),0),0)+ROUND(IFERROR(VLOOKUP("00109160502100TRVLB",$A$134:$C$9994,2,FALSE),0),0)</f>
        <v>140141</v>
      </c>
      <c r="J39" s="67"/>
      <c r="K39" s="45">
        <v>130145</v>
      </c>
      <c r="L39" s="67"/>
      <c r="M39" s="45">
        <f>'[1]Payroll Summary by Department'!N64</f>
        <v>130145</v>
      </c>
      <c r="N39" s="44"/>
      <c r="O39" s="126">
        <f t="shared" si="3"/>
        <v>130145</v>
      </c>
      <c r="Q39" s="45">
        <f t="shared" si="4"/>
        <v>130145</v>
      </c>
    </row>
    <row r="40" spans="1:17" ht="13.5" customHeight="1" x14ac:dyDescent="0.25">
      <c r="A40" s="40" t="s">
        <v>28</v>
      </c>
      <c r="B40" s="93" t="s">
        <v>284</v>
      </c>
      <c r="C40" s="69">
        <v>502200</v>
      </c>
      <c r="D40" s="69"/>
      <c r="E40" s="94" t="str">
        <f t="shared" si="2"/>
        <v>00109160502200</v>
      </c>
      <c r="G40" s="34">
        <f>ROUND(IFERROR(VLOOKUP(_xlfn.CONCAT($B40,$C40,$D40),$A$134:$C$9994,3,FALSE),0),0)</f>
        <v>79846</v>
      </c>
      <c r="H40" s="67"/>
      <c r="I40" s="34">
        <f>ROUND(IFERROR(VLOOKUP(_xlfn.CONCAT($B40,$C40,$D40),$A$134:$C$9994,2,FALSE),0),0)</f>
        <v>75814</v>
      </c>
      <c r="J40" s="67"/>
      <c r="K40" s="45">
        <v>99019</v>
      </c>
      <c r="L40" s="67"/>
      <c r="M40" s="45">
        <f>'[1]Payroll Summary by Department'!O64+'[1]Payroll Summary by Department'!P64</f>
        <v>99019</v>
      </c>
      <c r="N40" s="44"/>
      <c r="O40" s="126">
        <f t="shared" si="3"/>
        <v>99019</v>
      </c>
      <c r="Q40" s="45">
        <f t="shared" si="4"/>
        <v>99019</v>
      </c>
    </row>
    <row r="41" spans="1:17" ht="13.5" customHeight="1" x14ac:dyDescent="0.25">
      <c r="A41" s="40" t="s">
        <v>29</v>
      </c>
      <c r="B41" s="93" t="s">
        <v>284</v>
      </c>
      <c r="C41" s="69">
        <v>502300</v>
      </c>
      <c r="D41" s="69"/>
      <c r="E41" s="94" t="str">
        <f t="shared" si="2"/>
        <v>00109160502300</v>
      </c>
      <c r="G41" s="34">
        <f>ROUND(IFERROR(VLOOKUP(_xlfn.CONCAT($B41,$C41,$D41),$A$134:$C$9994,3,FALSE),0),0)</f>
        <v>137339</v>
      </c>
      <c r="H41" s="67"/>
      <c r="I41" s="34">
        <f>ROUND(IFERROR(VLOOKUP(_xlfn.CONCAT($B41,$C41,$D41),$A$134:$C$9994,2,FALSE),0),0)</f>
        <v>144290</v>
      </c>
      <c r="J41" s="67"/>
      <c r="K41" s="45">
        <v>184288</v>
      </c>
      <c r="L41" s="67"/>
      <c r="M41" s="45">
        <f>'[1]Payroll Summary by Department'!Q64</f>
        <v>184288</v>
      </c>
      <c r="N41" s="44"/>
      <c r="O41" s="126">
        <f t="shared" si="3"/>
        <v>184288</v>
      </c>
      <c r="Q41" s="45">
        <f t="shared" si="4"/>
        <v>184288</v>
      </c>
    </row>
    <row r="42" spans="1:17" ht="13.5" customHeight="1" x14ac:dyDescent="0.25">
      <c r="A42" s="40" t="s">
        <v>30</v>
      </c>
      <c r="B42" s="93" t="s">
        <v>284</v>
      </c>
      <c r="C42" s="69">
        <v>502400</v>
      </c>
      <c r="D42" s="69"/>
      <c r="E42" s="94" t="str">
        <f t="shared" si="2"/>
        <v>00109160502400</v>
      </c>
      <c r="G42" s="34">
        <f>ROUND(IFERROR(VLOOKUP(_xlfn.CONCAT($B42,$C42,$D42),$A$134:$C$9994,3,FALSE),0),0)</f>
        <v>1408</v>
      </c>
      <c r="H42" s="67"/>
      <c r="I42" s="34">
        <f>ROUND(IFERROR(VLOOKUP(_xlfn.CONCAT($B42,$C42,$D42),$A$134:$C$9994,2,FALSE),0),0)</f>
        <v>1568</v>
      </c>
      <c r="J42" s="67"/>
      <c r="K42" s="97">
        <v>1494</v>
      </c>
      <c r="L42" s="67"/>
      <c r="M42" s="97">
        <f>'[1]Payroll Summary by Department'!R64</f>
        <v>1494</v>
      </c>
      <c r="N42" s="44"/>
      <c r="O42" s="127">
        <f t="shared" si="3"/>
        <v>1494</v>
      </c>
      <c r="Q42" s="45">
        <f t="shared" si="4"/>
        <v>1494</v>
      </c>
    </row>
    <row r="43" spans="1:17" ht="24" customHeight="1" x14ac:dyDescent="0.25">
      <c r="A43" s="49" t="s">
        <v>31</v>
      </c>
      <c r="B43" s="50"/>
      <c r="C43" s="42"/>
      <c r="D43" s="42"/>
      <c r="E43" s="94" t="str">
        <f t="shared" si="2"/>
        <v/>
      </c>
      <c r="F43" s="42" t="s">
        <v>19</v>
      </c>
      <c r="G43" s="98">
        <f>SUM(G12:G42)</f>
        <v>2342451</v>
      </c>
      <c r="H43" s="42" t="s">
        <v>19</v>
      </c>
      <c r="I43" s="98">
        <f>SUM(I12:I42)</f>
        <v>2206973</v>
      </c>
      <c r="J43" s="42" t="s">
        <v>19</v>
      </c>
      <c r="K43" s="97">
        <f>SUM(K12:K42)</f>
        <v>2215671</v>
      </c>
      <c r="L43" s="42" t="s">
        <v>19</v>
      </c>
      <c r="M43" s="97">
        <f>SUM(M12:M42)</f>
        <v>2215671</v>
      </c>
      <c r="N43" s="96" t="s">
        <v>320</v>
      </c>
      <c r="O43" s="97">
        <f>SUM(O12:O42)</f>
        <v>2215671</v>
      </c>
      <c r="P43" s="67" t="s">
        <v>19</v>
      </c>
      <c r="Q43" s="98">
        <f>SUM(Q12:Q42)</f>
        <v>2215671</v>
      </c>
    </row>
    <row r="44" spans="1:17" ht="13.5" customHeight="1" x14ac:dyDescent="0.25">
      <c r="A44" s="99" t="s">
        <v>32</v>
      </c>
      <c r="E44" s="94" t="str">
        <f t="shared" si="2"/>
        <v/>
      </c>
      <c r="G44" s="45"/>
      <c r="H44" s="67"/>
      <c r="I44" s="45"/>
      <c r="J44" s="67"/>
      <c r="K44" s="45"/>
      <c r="L44" s="67"/>
      <c r="M44" s="45"/>
      <c r="O44" s="45"/>
      <c r="Q44" s="45"/>
    </row>
    <row r="45" spans="1:17" ht="13.5" customHeight="1" x14ac:dyDescent="0.25">
      <c r="A45" s="100" t="s">
        <v>123</v>
      </c>
      <c r="B45" s="70"/>
      <c r="E45" s="94" t="str">
        <f t="shared" si="2"/>
        <v/>
      </c>
      <c r="G45" s="45"/>
      <c r="H45" s="67"/>
      <c r="I45" s="45"/>
      <c r="J45" s="67"/>
      <c r="K45" s="45"/>
      <c r="L45" s="67"/>
      <c r="M45" s="45"/>
      <c r="O45" s="45"/>
      <c r="Q45" s="45"/>
    </row>
    <row r="46" spans="1:17" ht="13.5" customHeight="1" x14ac:dyDescent="0.25">
      <c r="A46" s="56" t="s">
        <v>321</v>
      </c>
      <c r="B46" s="57"/>
      <c r="C46" s="42" t="s">
        <v>43</v>
      </c>
      <c r="D46" s="42"/>
      <c r="E46" s="94" t="str">
        <f t="shared" si="2"/>
        <v>3B</v>
      </c>
      <c r="F46" s="6"/>
      <c r="G46" s="58">
        <v>3</v>
      </c>
      <c r="H46" s="128"/>
      <c r="I46" s="58">
        <v>3</v>
      </c>
      <c r="J46" s="128"/>
      <c r="K46" s="58">
        <v>4</v>
      </c>
      <c r="L46" s="128"/>
      <c r="M46" s="58">
        <v>4</v>
      </c>
      <c r="O46" s="129">
        <f t="shared" ref="O46:O58" si="7">M46</f>
        <v>4</v>
      </c>
      <c r="Q46" s="129">
        <f t="shared" ref="Q46:Q58" si="8">O46</f>
        <v>4</v>
      </c>
    </row>
    <row r="47" spans="1:17" ht="13.5" customHeight="1" x14ac:dyDescent="0.25">
      <c r="A47" s="60" t="s">
        <v>322</v>
      </c>
      <c r="B47" s="61"/>
      <c r="C47" s="42" t="s">
        <v>43</v>
      </c>
      <c r="D47" s="42"/>
      <c r="E47" s="94" t="str">
        <f t="shared" si="2"/>
        <v>3B</v>
      </c>
      <c r="G47" s="129">
        <v>1</v>
      </c>
      <c r="H47" s="119"/>
      <c r="I47" s="129">
        <v>1</v>
      </c>
      <c r="J47" s="119"/>
      <c r="K47" s="129">
        <v>1</v>
      </c>
      <c r="L47" s="130"/>
      <c r="M47" s="129">
        <v>1</v>
      </c>
      <c r="O47" s="129">
        <f>M47</f>
        <v>1</v>
      </c>
      <c r="Q47" s="129">
        <f>O47</f>
        <v>1</v>
      </c>
    </row>
    <row r="48" spans="1:17" ht="13.5" customHeight="1" x14ac:dyDescent="0.25">
      <c r="A48" s="60" t="s">
        <v>323</v>
      </c>
      <c r="B48" s="61"/>
      <c r="C48" s="42" t="s">
        <v>324</v>
      </c>
      <c r="D48" s="42"/>
      <c r="E48" s="94" t="str">
        <f t="shared" si="2"/>
        <v>3A</v>
      </c>
      <c r="G48" s="129">
        <v>0</v>
      </c>
      <c r="H48" s="119"/>
      <c r="I48" s="129">
        <v>1</v>
      </c>
      <c r="J48" s="119"/>
      <c r="K48" s="129">
        <v>1</v>
      </c>
      <c r="L48" s="119"/>
      <c r="M48" s="129">
        <v>1</v>
      </c>
      <c r="O48" s="129">
        <f t="shared" si="7"/>
        <v>1</v>
      </c>
      <c r="Q48" s="129">
        <f t="shared" si="8"/>
        <v>1</v>
      </c>
    </row>
    <row r="49" spans="1:21" ht="13.5" customHeight="1" x14ac:dyDescent="0.25">
      <c r="A49" s="60" t="s">
        <v>325</v>
      </c>
      <c r="B49" s="61"/>
      <c r="C49" s="42" t="s">
        <v>324</v>
      </c>
      <c r="D49" s="42"/>
      <c r="E49" s="94" t="str">
        <f t="shared" si="2"/>
        <v>3A</v>
      </c>
      <c r="G49" s="129">
        <v>1</v>
      </c>
      <c r="H49" s="119"/>
      <c r="I49" s="129">
        <v>1</v>
      </c>
      <c r="J49" s="119"/>
      <c r="K49" s="129">
        <v>1</v>
      </c>
      <c r="L49" s="130"/>
      <c r="M49" s="129">
        <v>1</v>
      </c>
      <c r="O49" s="129">
        <f t="shared" si="7"/>
        <v>1</v>
      </c>
      <c r="Q49" s="129">
        <f t="shared" si="8"/>
        <v>1</v>
      </c>
    </row>
    <row r="50" spans="1:21" ht="13.5" customHeight="1" x14ac:dyDescent="0.25">
      <c r="A50" s="60" t="s">
        <v>326</v>
      </c>
      <c r="B50" s="61"/>
      <c r="C50" s="42" t="s">
        <v>324</v>
      </c>
      <c r="D50" s="42"/>
      <c r="E50" s="94" t="str">
        <f t="shared" si="2"/>
        <v>3A</v>
      </c>
      <c r="G50" s="129">
        <v>4</v>
      </c>
      <c r="H50" s="130"/>
      <c r="I50" s="129">
        <v>4</v>
      </c>
      <c r="J50" s="130"/>
      <c r="K50" s="129">
        <v>3</v>
      </c>
      <c r="L50" s="130"/>
      <c r="M50" s="129">
        <v>3</v>
      </c>
      <c r="O50" s="129">
        <f t="shared" si="7"/>
        <v>3</v>
      </c>
      <c r="Q50" s="129">
        <f t="shared" si="8"/>
        <v>3</v>
      </c>
    </row>
    <row r="51" spans="1:21" ht="13.5" customHeight="1" x14ac:dyDescent="0.25">
      <c r="A51" s="60" t="s">
        <v>327</v>
      </c>
      <c r="B51" s="61"/>
      <c r="C51" s="42" t="s">
        <v>46</v>
      </c>
      <c r="D51" s="42"/>
      <c r="E51" s="94" t="str">
        <f t="shared" si="2"/>
        <v>4C</v>
      </c>
      <c r="G51" s="129">
        <v>5</v>
      </c>
      <c r="H51" s="119"/>
      <c r="I51" s="129">
        <v>5</v>
      </c>
      <c r="J51" s="119"/>
      <c r="K51" s="129">
        <v>5</v>
      </c>
      <c r="L51" s="119"/>
      <c r="M51" s="129">
        <v>5</v>
      </c>
      <c r="O51" s="129">
        <f t="shared" si="7"/>
        <v>5</v>
      </c>
      <c r="Q51" s="129">
        <f t="shared" si="8"/>
        <v>5</v>
      </c>
    </row>
    <row r="52" spans="1:21" ht="13.5" customHeight="1" x14ac:dyDescent="0.25">
      <c r="A52" s="60" t="s">
        <v>328</v>
      </c>
      <c r="B52" s="61"/>
      <c r="C52" s="42" t="s">
        <v>46</v>
      </c>
      <c r="D52" s="42"/>
      <c r="E52" s="94" t="str">
        <f t="shared" si="2"/>
        <v>4C</v>
      </c>
      <c r="G52" s="129">
        <v>1</v>
      </c>
      <c r="H52" s="119"/>
      <c r="I52" s="129">
        <v>1</v>
      </c>
      <c r="J52" s="119"/>
      <c r="K52" s="129">
        <v>1</v>
      </c>
      <c r="L52" s="119"/>
      <c r="M52" s="129">
        <v>1</v>
      </c>
      <c r="O52" s="129">
        <f t="shared" si="7"/>
        <v>1</v>
      </c>
      <c r="Q52" s="129">
        <f t="shared" si="8"/>
        <v>1</v>
      </c>
    </row>
    <row r="53" spans="1:21" ht="13.5" customHeight="1" x14ac:dyDescent="0.25">
      <c r="A53" s="60" t="s">
        <v>329</v>
      </c>
      <c r="B53" s="61"/>
      <c r="C53" s="42" t="s">
        <v>41</v>
      </c>
      <c r="D53" s="42"/>
      <c r="E53" s="94" t="str">
        <f t="shared" si="2"/>
        <v>3C</v>
      </c>
      <c r="G53" s="129">
        <v>0</v>
      </c>
      <c r="H53" s="119"/>
      <c r="I53" s="129">
        <v>0</v>
      </c>
      <c r="J53" s="119"/>
      <c r="K53" s="129">
        <v>0</v>
      </c>
      <c r="L53" s="119"/>
      <c r="M53" s="129">
        <v>0</v>
      </c>
      <c r="O53" s="129">
        <f>M53</f>
        <v>0</v>
      </c>
      <c r="Q53" s="129">
        <f>O53</f>
        <v>0</v>
      </c>
    </row>
    <row r="54" spans="1:21" ht="13.5" customHeight="1" x14ac:dyDescent="0.25">
      <c r="A54" s="60" t="s">
        <v>330</v>
      </c>
      <c r="B54" s="61"/>
      <c r="C54" s="42" t="s">
        <v>43</v>
      </c>
      <c r="D54" s="42"/>
      <c r="E54" s="94" t="str">
        <f t="shared" si="2"/>
        <v>3B</v>
      </c>
      <c r="G54" s="129">
        <v>0</v>
      </c>
      <c r="H54" s="130"/>
      <c r="I54" s="129">
        <v>0</v>
      </c>
      <c r="J54" s="130"/>
      <c r="K54" s="129">
        <v>0</v>
      </c>
      <c r="L54" s="130"/>
      <c r="M54" s="129">
        <v>0</v>
      </c>
      <c r="N54" s="129"/>
      <c r="O54" s="129">
        <f>M54</f>
        <v>0</v>
      </c>
      <c r="Q54" s="129">
        <f>O54</f>
        <v>0</v>
      </c>
    </row>
    <row r="55" spans="1:21" ht="13.5" customHeight="1" x14ac:dyDescent="0.25">
      <c r="A55" s="60" t="s">
        <v>49</v>
      </c>
      <c r="B55" s="61"/>
      <c r="C55" s="42" t="s">
        <v>43</v>
      </c>
      <c r="D55" s="42"/>
      <c r="E55" s="94" t="str">
        <f t="shared" si="2"/>
        <v>3B</v>
      </c>
      <c r="G55" s="129">
        <v>1</v>
      </c>
      <c r="H55" s="119"/>
      <c r="I55" s="129">
        <v>0</v>
      </c>
      <c r="J55" s="119"/>
      <c r="K55" s="129">
        <v>0</v>
      </c>
      <c r="L55" s="119"/>
      <c r="M55" s="129">
        <v>0</v>
      </c>
      <c r="O55" s="129">
        <f>M55</f>
        <v>0</v>
      </c>
      <c r="Q55" s="129">
        <f>O55</f>
        <v>0</v>
      </c>
    </row>
    <row r="56" spans="1:21" ht="13.5" customHeight="1" x14ac:dyDescent="0.25">
      <c r="A56" s="60" t="s">
        <v>331</v>
      </c>
      <c r="B56" s="61"/>
      <c r="C56" s="42" t="s">
        <v>324</v>
      </c>
      <c r="D56" s="42"/>
      <c r="E56" s="94" t="str">
        <f t="shared" si="2"/>
        <v>3A</v>
      </c>
      <c r="G56" s="129">
        <v>0</v>
      </c>
      <c r="H56" s="119"/>
      <c r="I56" s="129">
        <v>0</v>
      </c>
      <c r="J56" s="119"/>
      <c r="K56" s="129">
        <v>0</v>
      </c>
      <c r="L56" s="119"/>
      <c r="M56" s="129">
        <v>0</v>
      </c>
      <c r="O56" s="129">
        <f>M56</f>
        <v>0</v>
      </c>
      <c r="Q56" s="129">
        <f>O56</f>
        <v>0</v>
      </c>
    </row>
    <row r="57" spans="1:21" ht="13.5" customHeight="1" x14ac:dyDescent="0.25">
      <c r="A57" s="60" t="s">
        <v>45</v>
      </c>
      <c r="B57" s="61"/>
      <c r="C57" s="42" t="s">
        <v>46</v>
      </c>
      <c r="D57" s="42"/>
      <c r="E57" s="94" t="str">
        <f t="shared" si="2"/>
        <v>4C</v>
      </c>
      <c r="G57" s="129">
        <v>0</v>
      </c>
      <c r="H57" s="119"/>
      <c r="I57" s="129">
        <v>0</v>
      </c>
      <c r="J57" s="119"/>
      <c r="K57" s="129">
        <v>0</v>
      </c>
      <c r="L57" s="119"/>
      <c r="M57" s="129">
        <v>0</v>
      </c>
      <c r="O57" s="129">
        <f t="shared" si="7"/>
        <v>0</v>
      </c>
      <c r="Q57" s="129">
        <f t="shared" si="8"/>
        <v>0</v>
      </c>
    </row>
    <row r="58" spans="1:21" ht="13.15" customHeight="1" x14ac:dyDescent="0.25">
      <c r="A58" s="60" t="s">
        <v>307</v>
      </c>
      <c r="B58" s="61"/>
      <c r="C58" s="42" t="s">
        <v>46</v>
      </c>
      <c r="D58" s="42"/>
      <c r="E58" s="94" t="str">
        <f t="shared" si="2"/>
        <v>4C</v>
      </c>
      <c r="G58" s="72">
        <v>0</v>
      </c>
      <c r="H58" s="107"/>
      <c r="I58" s="129">
        <v>0</v>
      </c>
      <c r="J58" s="107"/>
      <c r="K58" s="131">
        <v>0</v>
      </c>
      <c r="L58" s="107"/>
      <c r="M58" s="131">
        <v>0</v>
      </c>
      <c r="O58" s="131">
        <f t="shared" si="7"/>
        <v>0</v>
      </c>
      <c r="Q58" s="131">
        <f t="shared" si="8"/>
        <v>0</v>
      </c>
    </row>
    <row r="59" spans="1:21" ht="13.5" customHeight="1" x14ac:dyDescent="0.25">
      <c r="A59" s="60"/>
      <c r="B59" s="61"/>
      <c r="C59" s="42"/>
      <c r="D59" s="42"/>
      <c r="E59" s="94" t="str">
        <f t="shared" si="2"/>
        <v/>
      </c>
      <c r="G59" s="72"/>
      <c r="H59" s="107"/>
      <c r="I59" s="72"/>
      <c r="J59" s="107"/>
      <c r="K59" s="129"/>
      <c r="L59" s="107"/>
      <c r="M59" s="131"/>
      <c r="O59" s="131"/>
      <c r="Q59" s="129"/>
    </row>
    <row r="60" spans="1:21" ht="23.1" customHeight="1" thickBot="1" x14ac:dyDescent="0.3">
      <c r="A60" s="132" t="s">
        <v>332</v>
      </c>
      <c r="B60" s="133"/>
      <c r="C60" s="120"/>
      <c r="D60" s="120"/>
      <c r="E60" s="94" t="str">
        <f t="shared" si="2"/>
        <v/>
      </c>
      <c r="G60" s="134">
        <f>SUM(G46:G59)</f>
        <v>16</v>
      </c>
      <c r="H60" s="67"/>
      <c r="I60" s="134">
        <f>SUM(I46:I59)</f>
        <v>16</v>
      </c>
      <c r="J60" s="67"/>
      <c r="K60" s="134">
        <f>SUM(K46:K59)</f>
        <v>16</v>
      </c>
      <c r="L60" s="67"/>
      <c r="M60" s="134">
        <f>SUM(M46:M59)</f>
        <v>16</v>
      </c>
      <c r="N60" s="67"/>
      <c r="O60" s="134">
        <f>SUM(O46:O59)</f>
        <v>16</v>
      </c>
      <c r="P60" s="123"/>
      <c r="Q60" s="134">
        <f>SUM(Q46:Q59)</f>
        <v>16</v>
      </c>
    </row>
    <row r="61" spans="1:21" ht="13.5" customHeight="1" thickTop="1" x14ac:dyDescent="0.25">
      <c r="A61" s="100" t="s">
        <v>333</v>
      </c>
      <c r="B61" s="70"/>
      <c r="C61" s="120"/>
      <c r="D61" s="120"/>
      <c r="E61" s="94" t="str">
        <f t="shared" si="2"/>
        <v/>
      </c>
      <c r="G61" s="131"/>
      <c r="H61" s="119"/>
      <c r="I61" s="131"/>
      <c r="J61" s="119"/>
      <c r="K61" s="131"/>
      <c r="L61" s="119"/>
      <c r="M61" s="131"/>
      <c r="O61" s="131"/>
      <c r="Q61" s="131"/>
    </row>
    <row r="62" spans="1:21" ht="13.5" customHeight="1" x14ac:dyDescent="0.25">
      <c r="A62" s="60"/>
      <c r="B62" s="61"/>
      <c r="C62" s="42"/>
      <c r="D62" s="42"/>
      <c r="E62" s="94" t="str">
        <f t="shared" si="2"/>
        <v/>
      </c>
      <c r="G62" s="97">
        <v>0</v>
      </c>
      <c r="H62" s="67"/>
      <c r="I62" s="97">
        <v>0</v>
      </c>
      <c r="J62" s="67"/>
      <c r="K62" s="97">
        <v>0</v>
      </c>
      <c r="L62" s="67"/>
      <c r="M62" s="97">
        <v>0</v>
      </c>
      <c r="O62" s="97">
        <f>M62</f>
        <v>0</v>
      </c>
      <c r="Q62" s="97">
        <f>O62</f>
        <v>0</v>
      </c>
    </row>
    <row r="63" spans="1:21" s="123" customFormat="1" ht="13.5" customHeight="1" x14ac:dyDescent="0.25">
      <c r="A63" s="135" t="s">
        <v>334</v>
      </c>
      <c r="B63" s="133"/>
      <c r="C63" s="136"/>
      <c r="D63" s="136"/>
      <c r="E63" s="94" t="str">
        <f t="shared" si="2"/>
        <v/>
      </c>
      <c r="F63" s="124"/>
      <c r="G63" s="97">
        <f>SUM(G62:G62)</f>
        <v>0</v>
      </c>
      <c r="H63" s="67"/>
      <c r="I63" s="97">
        <f>SUM(I62:I62)</f>
        <v>0</v>
      </c>
      <c r="J63" s="67"/>
      <c r="K63" s="97">
        <f>SUM(K62:K62)</f>
        <v>0</v>
      </c>
      <c r="L63" s="67"/>
      <c r="M63" s="97">
        <f>SUM(M62:M62)</f>
        <v>0</v>
      </c>
      <c r="N63" s="15"/>
      <c r="O63" s="97">
        <f>SUM(O62:O62)</f>
        <v>0</v>
      </c>
      <c r="Q63" s="97">
        <f>SUM(Q62:Q62)</f>
        <v>0</v>
      </c>
      <c r="R63"/>
      <c r="S63"/>
      <c r="T63"/>
      <c r="U63"/>
    </row>
    <row r="64" spans="1:21" s="123" customFormat="1" ht="23.1" customHeight="1" thickBot="1" x14ac:dyDescent="0.3">
      <c r="A64" s="132" t="s">
        <v>332</v>
      </c>
      <c r="B64" s="133"/>
      <c r="E64" s="94" t="str">
        <f t="shared" si="2"/>
        <v/>
      </c>
      <c r="F64" s="124"/>
      <c r="G64" s="109">
        <f>+G63+G60</f>
        <v>16</v>
      </c>
      <c r="H64" s="67"/>
      <c r="I64" s="109">
        <f>+I63+I60</f>
        <v>16</v>
      </c>
      <c r="J64" s="67"/>
      <c r="K64" s="109">
        <f>+K63+K60</f>
        <v>16</v>
      </c>
      <c r="L64" s="67"/>
      <c r="M64" s="109">
        <f>+M63+M60</f>
        <v>16</v>
      </c>
      <c r="N64" s="67"/>
      <c r="O64" s="109">
        <f>+O63+O60</f>
        <v>16</v>
      </c>
      <c r="Q64" s="109">
        <f>+Q63+Q60</f>
        <v>16</v>
      </c>
      <c r="R64"/>
      <c r="S64"/>
      <c r="T64"/>
      <c r="U64"/>
    </row>
    <row r="65" spans="1:21" s="123" customFormat="1" ht="24" customHeight="1" thickTop="1" x14ac:dyDescent="0.25">
      <c r="A65" s="99" t="s">
        <v>52</v>
      </c>
      <c r="B65" s="29"/>
      <c r="C65" s="15"/>
      <c r="D65" s="15"/>
      <c r="E65" s="94" t="str">
        <f t="shared" si="2"/>
        <v/>
      </c>
      <c r="F65" s="42"/>
      <c r="G65" s="72"/>
      <c r="H65" s="107"/>
      <c r="I65" s="72"/>
      <c r="J65" s="107"/>
      <c r="K65" s="72"/>
      <c r="L65" s="107"/>
      <c r="M65" s="72"/>
      <c r="N65" s="15"/>
      <c r="O65" s="72"/>
      <c r="Q65" s="72"/>
      <c r="R65"/>
      <c r="S65"/>
      <c r="T65"/>
      <c r="U65"/>
    </row>
    <row r="66" spans="1:21" s="123" customFormat="1" ht="13.5" customHeight="1" x14ac:dyDescent="0.25">
      <c r="A66" s="40" t="s">
        <v>193</v>
      </c>
      <c r="B66" s="93" t="s">
        <v>284</v>
      </c>
      <c r="C66" s="15">
        <v>503401</v>
      </c>
      <c r="D66" s="15"/>
      <c r="E66" s="94" t="str">
        <f t="shared" si="2"/>
        <v>00109160503401</v>
      </c>
      <c r="F66" s="42" t="s">
        <v>19</v>
      </c>
      <c r="G66" s="34">
        <f t="shared" ref="G66:G124" si="9">ROUND(IFERROR(VLOOKUP(_xlfn.CONCAT($B66,$C66,$D66),$A$134:$C$9994,3,FALSE),0),0)</f>
        <v>0</v>
      </c>
      <c r="H66" s="43" t="s">
        <v>19</v>
      </c>
      <c r="I66" s="34">
        <f t="shared" ref="I66:I119" si="10">ROUND(IFERROR(VLOOKUP(_xlfn.CONCAT($B66,$C66,$D66),$A$134:$C$9994,2,FALSE),0),0)</f>
        <v>0</v>
      </c>
      <c r="J66" s="43" t="s">
        <v>19</v>
      </c>
      <c r="K66" s="72">
        <v>0</v>
      </c>
      <c r="L66" s="43" t="s">
        <v>19</v>
      </c>
      <c r="M66" s="237">
        <v>0</v>
      </c>
      <c r="N66" s="39" t="s">
        <v>19</v>
      </c>
      <c r="O66" s="72">
        <f>M66</f>
        <v>0</v>
      </c>
      <c r="P66" s="67" t="s">
        <v>19</v>
      </c>
      <c r="Q66" s="72">
        <f>O66</f>
        <v>0</v>
      </c>
      <c r="R66"/>
      <c r="S66"/>
      <c r="T66"/>
      <c r="U66"/>
    </row>
    <row r="67" spans="1:21" s="123" customFormat="1" ht="13.5" customHeight="1" x14ac:dyDescent="0.25">
      <c r="A67" s="60" t="s">
        <v>335</v>
      </c>
      <c r="B67" s="93" t="s">
        <v>284</v>
      </c>
      <c r="C67" s="69"/>
      <c r="D67" s="69"/>
      <c r="E67" s="94" t="str">
        <f t="shared" si="2"/>
        <v>00109160</v>
      </c>
      <c r="F67" s="42"/>
      <c r="G67" s="34">
        <f t="shared" si="9"/>
        <v>0</v>
      </c>
      <c r="H67" s="107"/>
      <c r="I67" s="34">
        <f t="shared" si="10"/>
        <v>0</v>
      </c>
      <c r="J67" s="107"/>
      <c r="K67" s="72">
        <v>2500</v>
      </c>
      <c r="L67" s="107"/>
      <c r="M67" s="237">
        <v>2500</v>
      </c>
      <c r="N67" s="44"/>
      <c r="O67" s="72">
        <f t="shared" ref="O67:O120" si="11">M67</f>
        <v>2500</v>
      </c>
      <c r="Q67" s="72">
        <f t="shared" ref="Q67:Q120" si="12">O67</f>
        <v>2500</v>
      </c>
      <c r="R67"/>
      <c r="S67"/>
      <c r="T67"/>
      <c r="U67"/>
    </row>
    <row r="68" spans="1:21" s="123" customFormat="1" ht="13.5" customHeight="1" x14ac:dyDescent="0.25">
      <c r="A68" s="40" t="s">
        <v>336</v>
      </c>
      <c r="B68" s="93" t="s">
        <v>284</v>
      </c>
      <c r="C68" s="69">
        <v>503403</v>
      </c>
      <c r="D68" s="69"/>
      <c r="E68" s="94" t="str">
        <f t="shared" si="2"/>
        <v>00109160503403</v>
      </c>
      <c r="F68" s="42"/>
      <c r="G68" s="34">
        <f t="shared" si="9"/>
        <v>0</v>
      </c>
      <c r="H68" s="107"/>
      <c r="I68" s="34">
        <f t="shared" si="10"/>
        <v>0</v>
      </c>
      <c r="J68" s="107"/>
      <c r="K68" s="72">
        <v>400</v>
      </c>
      <c r="L68" s="107"/>
      <c r="M68" s="237">
        <v>400</v>
      </c>
      <c r="N68" s="44"/>
      <c r="O68" s="72">
        <f t="shared" si="11"/>
        <v>400</v>
      </c>
      <c r="Q68" s="72">
        <f t="shared" si="12"/>
        <v>400</v>
      </c>
      <c r="R68"/>
      <c r="S68"/>
      <c r="T68"/>
      <c r="U68"/>
    </row>
    <row r="69" spans="1:21" s="123" customFormat="1" ht="13.5" customHeight="1" x14ac:dyDescent="0.25">
      <c r="A69" s="40" t="s">
        <v>124</v>
      </c>
      <c r="B69" s="93" t="s">
        <v>284</v>
      </c>
      <c r="C69" s="69">
        <v>503415</v>
      </c>
      <c r="D69" s="69"/>
      <c r="E69" s="94" t="str">
        <f t="shared" si="2"/>
        <v>00109160503415</v>
      </c>
      <c r="F69" s="42"/>
      <c r="G69" s="34">
        <f t="shared" si="9"/>
        <v>19773</v>
      </c>
      <c r="H69" s="107"/>
      <c r="I69" s="34">
        <f t="shared" si="10"/>
        <v>19881</v>
      </c>
      <c r="J69" s="107"/>
      <c r="K69" s="72">
        <v>0</v>
      </c>
      <c r="L69" s="107"/>
      <c r="M69" s="237">
        <v>0</v>
      </c>
      <c r="N69" s="44"/>
      <c r="O69" s="72">
        <f t="shared" si="11"/>
        <v>0</v>
      </c>
      <c r="Q69" s="72">
        <f t="shared" si="12"/>
        <v>0</v>
      </c>
      <c r="R69"/>
      <c r="S69"/>
      <c r="T69"/>
      <c r="U69"/>
    </row>
    <row r="70" spans="1:21" s="123" customFormat="1" ht="13.5" customHeight="1" x14ac:dyDescent="0.25">
      <c r="A70" s="137" t="s">
        <v>337</v>
      </c>
      <c r="B70" s="93" t="s">
        <v>284</v>
      </c>
      <c r="C70" s="69"/>
      <c r="D70" s="69"/>
      <c r="E70" s="94" t="str">
        <f t="shared" si="2"/>
        <v>00109160</v>
      </c>
      <c r="F70" s="42"/>
      <c r="G70" s="34">
        <f t="shared" si="9"/>
        <v>0</v>
      </c>
      <c r="H70" s="107"/>
      <c r="I70" s="34">
        <f t="shared" si="10"/>
        <v>0</v>
      </c>
      <c r="J70" s="107"/>
      <c r="K70" s="72">
        <v>20000</v>
      </c>
      <c r="L70" s="107"/>
      <c r="M70" s="237">
        <v>20000</v>
      </c>
      <c r="N70" s="44"/>
      <c r="O70" s="72">
        <f t="shared" si="11"/>
        <v>20000</v>
      </c>
      <c r="Q70" s="72">
        <f t="shared" si="12"/>
        <v>20000</v>
      </c>
      <c r="R70"/>
      <c r="S70"/>
      <c r="T70"/>
      <c r="U70"/>
    </row>
    <row r="71" spans="1:21" s="123" customFormat="1" ht="13.5" customHeight="1" x14ac:dyDescent="0.25">
      <c r="A71" s="40" t="s">
        <v>125</v>
      </c>
      <c r="B71" s="93" t="s">
        <v>284</v>
      </c>
      <c r="C71" s="69">
        <v>503450</v>
      </c>
      <c r="D71" s="69"/>
      <c r="E71" s="94" t="str">
        <f t="shared" si="2"/>
        <v>00109160503450</v>
      </c>
      <c r="F71" s="42"/>
      <c r="G71" s="34">
        <f t="shared" si="9"/>
        <v>0</v>
      </c>
      <c r="H71" s="107"/>
      <c r="I71" s="34">
        <f t="shared" si="10"/>
        <v>0</v>
      </c>
      <c r="J71" s="107"/>
      <c r="K71" s="72">
        <v>0</v>
      </c>
      <c r="L71" s="107"/>
      <c r="M71" s="237">
        <v>0</v>
      </c>
      <c r="N71" s="44"/>
      <c r="O71" s="72">
        <f t="shared" si="11"/>
        <v>0</v>
      </c>
      <c r="Q71" s="72">
        <f t="shared" si="12"/>
        <v>0</v>
      </c>
      <c r="R71"/>
      <c r="S71"/>
      <c r="T71"/>
      <c r="U71"/>
    </row>
    <row r="72" spans="1:21" s="123" customFormat="1" ht="13.5" customHeight="1" x14ac:dyDescent="0.25">
      <c r="A72" s="40" t="s">
        <v>338</v>
      </c>
      <c r="B72" s="93" t="s">
        <v>284</v>
      </c>
      <c r="C72" s="69">
        <v>503457</v>
      </c>
      <c r="D72" s="69"/>
      <c r="E72" s="94" t="str">
        <f t="shared" si="2"/>
        <v>00109160503457</v>
      </c>
      <c r="F72" s="42"/>
      <c r="G72" s="34">
        <f t="shared" si="9"/>
        <v>0</v>
      </c>
      <c r="H72" s="107"/>
      <c r="I72" s="34">
        <f t="shared" si="10"/>
        <v>0</v>
      </c>
      <c r="J72" s="107"/>
      <c r="K72" s="72">
        <v>0</v>
      </c>
      <c r="L72" s="107"/>
      <c r="M72" s="237">
        <v>0</v>
      </c>
      <c r="N72" s="44"/>
      <c r="O72" s="72">
        <f t="shared" si="11"/>
        <v>0</v>
      </c>
      <c r="Q72" s="72">
        <f t="shared" si="12"/>
        <v>0</v>
      </c>
      <c r="R72"/>
      <c r="S72"/>
      <c r="T72"/>
      <c r="U72"/>
    </row>
    <row r="73" spans="1:21" s="123" customFormat="1" ht="13.5" customHeight="1" x14ac:dyDescent="0.25">
      <c r="A73" s="40" t="s">
        <v>59</v>
      </c>
      <c r="B73" s="93" t="s">
        <v>284</v>
      </c>
      <c r="C73" s="69">
        <v>503901</v>
      </c>
      <c r="D73" s="69"/>
      <c r="E73" s="94" t="str">
        <f t="shared" si="2"/>
        <v>00109160503901</v>
      </c>
      <c r="F73" s="42"/>
      <c r="G73" s="34">
        <f t="shared" si="9"/>
        <v>0</v>
      </c>
      <c r="H73" s="107"/>
      <c r="I73" s="34">
        <f t="shared" si="10"/>
        <v>570</v>
      </c>
      <c r="J73" s="107"/>
      <c r="K73" s="72">
        <v>3000</v>
      </c>
      <c r="L73" s="107"/>
      <c r="M73" s="237">
        <v>3000</v>
      </c>
      <c r="N73" s="72"/>
      <c r="O73" s="72">
        <f t="shared" si="11"/>
        <v>3000</v>
      </c>
      <c r="Q73" s="72">
        <f t="shared" si="12"/>
        <v>3000</v>
      </c>
      <c r="R73"/>
      <c r="S73"/>
      <c r="T73"/>
      <c r="U73"/>
    </row>
    <row r="74" spans="1:21" s="123" customFormat="1" ht="13.5" customHeight="1" x14ac:dyDescent="0.25">
      <c r="A74" s="40" t="s">
        <v>339</v>
      </c>
      <c r="B74" s="93" t="s">
        <v>284</v>
      </c>
      <c r="C74" s="69"/>
      <c r="D74" s="69"/>
      <c r="E74" s="94" t="str">
        <f t="shared" si="2"/>
        <v>00109160</v>
      </c>
      <c r="F74" s="42"/>
      <c r="G74" s="34">
        <f t="shared" si="9"/>
        <v>0</v>
      </c>
      <c r="H74" s="107"/>
      <c r="I74" s="34">
        <f t="shared" si="10"/>
        <v>0</v>
      </c>
      <c r="J74" s="107"/>
      <c r="K74" s="72">
        <v>0</v>
      </c>
      <c r="L74" s="107"/>
      <c r="M74" s="237">
        <v>0</v>
      </c>
      <c r="N74" s="44"/>
      <c r="O74" s="72">
        <f t="shared" si="11"/>
        <v>0</v>
      </c>
      <c r="Q74" s="72">
        <f t="shared" si="12"/>
        <v>0</v>
      </c>
      <c r="R74"/>
      <c r="S74"/>
      <c r="T74"/>
      <c r="U74"/>
    </row>
    <row r="75" spans="1:21" s="123" customFormat="1" ht="13.5" customHeight="1" x14ac:dyDescent="0.25">
      <c r="A75" s="40" t="s">
        <v>60</v>
      </c>
      <c r="B75" s="93" t="s">
        <v>284</v>
      </c>
      <c r="C75" s="69"/>
      <c r="D75" s="69"/>
      <c r="E75" s="94" t="str">
        <f t="shared" si="2"/>
        <v>00109160</v>
      </c>
      <c r="F75" s="42"/>
      <c r="G75" s="34">
        <f t="shared" si="9"/>
        <v>0</v>
      </c>
      <c r="H75" s="107"/>
      <c r="I75" s="34">
        <f t="shared" si="10"/>
        <v>0</v>
      </c>
      <c r="J75" s="107"/>
      <c r="K75" s="72">
        <v>0</v>
      </c>
      <c r="L75" s="107"/>
      <c r="M75" s="237">
        <v>0</v>
      </c>
      <c r="N75" s="44"/>
      <c r="O75" s="72">
        <f t="shared" si="11"/>
        <v>0</v>
      </c>
      <c r="Q75" s="72">
        <f t="shared" si="12"/>
        <v>0</v>
      </c>
      <c r="R75"/>
      <c r="S75"/>
      <c r="T75"/>
      <c r="U75"/>
    </row>
    <row r="76" spans="1:21" s="123" customFormat="1" ht="13.5" customHeight="1" x14ac:dyDescent="0.25">
      <c r="A76" s="40" t="s">
        <v>61</v>
      </c>
      <c r="B76" s="93" t="s">
        <v>284</v>
      </c>
      <c r="C76" s="69">
        <v>504060</v>
      </c>
      <c r="D76" s="69"/>
      <c r="E76" s="94" t="str">
        <f t="shared" si="2"/>
        <v>00109160504060</v>
      </c>
      <c r="F76" s="42"/>
      <c r="G76" s="34">
        <f t="shared" si="9"/>
        <v>6292</v>
      </c>
      <c r="H76" s="107"/>
      <c r="I76" s="34">
        <f t="shared" si="10"/>
        <v>4895</v>
      </c>
      <c r="J76" s="107"/>
      <c r="K76" s="72">
        <v>6500</v>
      </c>
      <c r="L76" s="107"/>
      <c r="M76" s="237">
        <v>6500</v>
      </c>
      <c r="N76" s="44"/>
      <c r="O76" s="72">
        <f t="shared" si="11"/>
        <v>6500</v>
      </c>
      <c r="Q76" s="72">
        <f t="shared" si="12"/>
        <v>6500</v>
      </c>
      <c r="R76"/>
      <c r="S76"/>
      <c r="T76"/>
      <c r="U76"/>
    </row>
    <row r="77" spans="1:21" s="123" customFormat="1" ht="13.5" customHeight="1" x14ac:dyDescent="0.25">
      <c r="A77" s="40" t="s">
        <v>62</v>
      </c>
      <c r="B77" s="93" t="s">
        <v>284</v>
      </c>
      <c r="C77" s="69">
        <v>504070</v>
      </c>
      <c r="D77" s="69"/>
      <c r="E77" s="94" t="str">
        <f t="shared" si="2"/>
        <v>00109160504070</v>
      </c>
      <c r="F77" s="42"/>
      <c r="G77" s="34">
        <f t="shared" si="9"/>
        <v>0</v>
      </c>
      <c r="H77" s="107"/>
      <c r="I77" s="34">
        <f t="shared" si="10"/>
        <v>303</v>
      </c>
      <c r="J77" s="107"/>
      <c r="K77" s="72">
        <v>1000</v>
      </c>
      <c r="L77" s="107"/>
      <c r="M77" s="237">
        <v>1000</v>
      </c>
      <c r="N77" s="44"/>
      <c r="O77" s="72">
        <f t="shared" si="11"/>
        <v>1000</v>
      </c>
      <c r="Q77" s="72">
        <f t="shared" si="12"/>
        <v>1000</v>
      </c>
      <c r="R77"/>
      <c r="S77"/>
      <c r="T77"/>
      <c r="U77"/>
    </row>
    <row r="78" spans="1:21" s="123" customFormat="1" ht="13.5" customHeight="1" x14ac:dyDescent="0.25">
      <c r="A78" s="60" t="s">
        <v>340</v>
      </c>
      <c r="B78" s="93" t="s">
        <v>284</v>
      </c>
      <c r="C78" s="69"/>
      <c r="E78" s="94" t="str">
        <f t="shared" ref="E78:E124" si="13">_xlfn.CONCAT(B78,C78,D78)</f>
        <v>00109160</v>
      </c>
      <c r="F78" s="42"/>
      <c r="G78" s="34">
        <f t="shared" si="9"/>
        <v>0</v>
      </c>
      <c r="H78" s="107"/>
      <c r="I78" s="34">
        <f t="shared" si="10"/>
        <v>0</v>
      </c>
      <c r="J78" s="107"/>
      <c r="K78" s="72">
        <v>25000</v>
      </c>
      <c r="L78" s="107"/>
      <c r="M78" s="237">
        <v>25000</v>
      </c>
      <c r="N78" s="44"/>
      <c r="O78" s="72">
        <f>M78</f>
        <v>25000</v>
      </c>
      <c r="Q78" s="72">
        <f>O78</f>
        <v>25000</v>
      </c>
      <c r="R78"/>
      <c r="S78"/>
      <c r="T78"/>
      <c r="U78"/>
    </row>
    <row r="79" spans="1:21" s="123" customFormat="1" ht="13.5" customHeight="1" x14ac:dyDescent="0.25">
      <c r="A79" s="60" t="s">
        <v>341</v>
      </c>
      <c r="B79" s="93" t="s">
        <v>284</v>
      </c>
      <c r="C79" s="69">
        <v>504070</v>
      </c>
      <c r="D79" s="69" t="s">
        <v>342</v>
      </c>
      <c r="E79" s="94" t="str">
        <f t="shared" si="13"/>
        <v>00109160504070LR030</v>
      </c>
      <c r="F79" s="42"/>
      <c r="G79" s="34">
        <f t="shared" si="9"/>
        <v>24511</v>
      </c>
      <c r="H79" s="107"/>
      <c r="I79" s="34">
        <f t="shared" si="10"/>
        <v>4317</v>
      </c>
      <c r="J79" s="107"/>
      <c r="K79" s="72">
        <v>2500</v>
      </c>
      <c r="L79" s="107"/>
      <c r="M79" s="237">
        <v>2500</v>
      </c>
      <c r="N79" s="44"/>
      <c r="O79" s="72">
        <f t="shared" si="11"/>
        <v>2500</v>
      </c>
      <c r="Q79" s="72">
        <f t="shared" si="12"/>
        <v>2500</v>
      </c>
      <c r="R79"/>
      <c r="S79"/>
      <c r="T79"/>
      <c r="U79"/>
    </row>
    <row r="80" spans="1:21" s="123" customFormat="1" ht="13.5" customHeight="1" x14ac:dyDescent="0.25">
      <c r="A80" s="60" t="s">
        <v>343</v>
      </c>
      <c r="B80" s="93" t="s">
        <v>284</v>
      </c>
      <c r="C80" s="69">
        <v>504070</v>
      </c>
      <c r="D80" s="69" t="s">
        <v>344</v>
      </c>
      <c r="E80" s="94" t="str">
        <f t="shared" si="13"/>
        <v>00109160504070LR035</v>
      </c>
      <c r="F80" s="42"/>
      <c r="G80" s="34">
        <f t="shared" si="9"/>
        <v>3696</v>
      </c>
      <c r="H80" s="107"/>
      <c r="I80" s="34">
        <f t="shared" si="10"/>
        <v>0</v>
      </c>
      <c r="J80" s="107"/>
      <c r="K80" s="72">
        <v>2500</v>
      </c>
      <c r="L80" s="107"/>
      <c r="M80" s="237">
        <v>2500</v>
      </c>
      <c r="N80" s="44"/>
      <c r="O80" s="72">
        <f t="shared" si="11"/>
        <v>2500</v>
      </c>
      <c r="Q80" s="72">
        <f t="shared" si="12"/>
        <v>2500</v>
      </c>
      <c r="R80"/>
      <c r="S80"/>
      <c r="T80"/>
      <c r="U80"/>
    </row>
    <row r="81" spans="1:21" s="123" customFormat="1" ht="13.5" customHeight="1" x14ac:dyDescent="0.25">
      <c r="A81" s="40" t="s">
        <v>345</v>
      </c>
      <c r="B81" s="93" t="s">
        <v>284</v>
      </c>
      <c r="C81" s="69">
        <v>504201</v>
      </c>
      <c r="D81" s="69"/>
      <c r="E81" s="94" t="str">
        <f t="shared" si="13"/>
        <v>00109160504201</v>
      </c>
      <c r="F81" s="42"/>
      <c r="G81" s="34">
        <f t="shared" si="9"/>
        <v>0</v>
      </c>
      <c r="H81" s="107"/>
      <c r="I81" s="34">
        <f t="shared" si="10"/>
        <v>0</v>
      </c>
      <c r="J81" s="107"/>
      <c r="K81" s="72">
        <v>0</v>
      </c>
      <c r="L81" s="107"/>
      <c r="M81" s="237">
        <v>0</v>
      </c>
      <c r="N81" s="44"/>
      <c r="O81" s="72">
        <f t="shared" si="11"/>
        <v>0</v>
      </c>
      <c r="Q81" s="72">
        <f t="shared" si="12"/>
        <v>0</v>
      </c>
      <c r="R81"/>
      <c r="S81"/>
      <c r="T81"/>
      <c r="U81"/>
    </row>
    <row r="82" spans="1:21" s="123" customFormat="1" ht="13.5" customHeight="1" x14ac:dyDescent="0.25">
      <c r="A82" s="40" t="s">
        <v>346</v>
      </c>
      <c r="B82" s="93" t="s">
        <v>284</v>
      </c>
      <c r="C82" s="42">
        <v>504410</v>
      </c>
      <c r="D82" s="42"/>
      <c r="E82" s="94" t="str">
        <f t="shared" si="13"/>
        <v>00109160504410</v>
      </c>
      <c r="F82" s="42"/>
      <c r="G82" s="34">
        <f t="shared" si="9"/>
        <v>0</v>
      </c>
      <c r="H82" s="107"/>
      <c r="I82" s="34">
        <f t="shared" si="10"/>
        <v>0</v>
      </c>
      <c r="J82" s="107"/>
      <c r="K82" s="72">
        <v>0</v>
      </c>
      <c r="L82" s="107"/>
      <c r="M82" s="237">
        <v>0</v>
      </c>
      <c r="N82" s="44"/>
      <c r="O82" s="72">
        <f t="shared" si="11"/>
        <v>0</v>
      </c>
      <c r="Q82" s="72">
        <f t="shared" si="12"/>
        <v>0</v>
      </c>
      <c r="R82"/>
      <c r="S82"/>
      <c r="T82"/>
      <c r="U82"/>
    </row>
    <row r="83" spans="1:21" s="123" customFormat="1" ht="13.5" customHeight="1" x14ac:dyDescent="0.25">
      <c r="A83" s="40" t="s">
        <v>127</v>
      </c>
      <c r="B83" s="93" t="s">
        <v>284</v>
      </c>
      <c r="C83" s="42">
        <v>504430</v>
      </c>
      <c r="D83" s="42"/>
      <c r="E83" s="94" t="str">
        <f t="shared" si="13"/>
        <v>00109160504430</v>
      </c>
      <c r="F83" s="42"/>
      <c r="G83" s="34">
        <f t="shared" si="9"/>
        <v>0</v>
      </c>
      <c r="H83" s="107"/>
      <c r="I83" s="34">
        <f t="shared" si="10"/>
        <v>2165</v>
      </c>
      <c r="J83" s="107"/>
      <c r="K83" s="72">
        <v>0</v>
      </c>
      <c r="L83" s="107"/>
      <c r="M83" s="237">
        <v>0</v>
      </c>
      <c r="N83" s="44"/>
      <c r="O83" s="72">
        <f t="shared" si="11"/>
        <v>0</v>
      </c>
      <c r="Q83" s="72">
        <f t="shared" si="12"/>
        <v>0</v>
      </c>
      <c r="R83"/>
      <c r="S83"/>
      <c r="T83"/>
      <c r="U83"/>
    </row>
    <row r="84" spans="1:21" s="123" customFormat="1" ht="13.5" customHeight="1" x14ac:dyDescent="0.25">
      <c r="A84" s="40" t="s">
        <v>128</v>
      </c>
      <c r="B84" s="93" t="s">
        <v>284</v>
      </c>
      <c r="C84" s="42">
        <v>504601</v>
      </c>
      <c r="D84" s="42"/>
      <c r="E84" s="94" t="str">
        <f t="shared" si="13"/>
        <v>00109160504601</v>
      </c>
      <c r="F84" s="42"/>
      <c r="G84" s="34">
        <f t="shared" si="9"/>
        <v>0</v>
      </c>
      <c r="H84" s="107"/>
      <c r="I84" s="34">
        <f t="shared" si="10"/>
        <v>0</v>
      </c>
      <c r="J84" s="107"/>
      <c r="K84" s="72">
        <v>0</v>
      </c>
      <c r="L84" s="107"/>
      <c r="M84" s="237">
        <v>0</v>
      </c>
      <c r="N84" s="44"/>
      <c r="O84" s="72">
        <f t="shared" si="11"/>
        <v>0</v>
      </c>
      <c r="Q84" s="72">
        <f t="shared" si="12"/>
        <v>0</v>
      </c>
      <c r="R84"/>
      <c r="S84"/>
      <c r="T84"/>
      <c r="U84"/>
    </row>
    <row r="85" spans="1:21" s="123" customFormat="1" ht="13.5" customHeight="1" x14ac:dyDescent="0.25">
      <c r="A85" s="40" t="s">
        <v>132</v>
      </c>
      <c r="B85" s="93" t="s">
        <v>284</v>
      </c>
      <c r="C85" s="42">
        <v>504610</v>
      </c>
      <c r="D85" s="42"/>
      <c r="E85" s="94" t="str">
        <f t="shared" si="13"/>
        <v>00109160504610</v>
      </c>
      <c r="F85" s="42"/>
      <c r="G85" s="34">
        <f t="shared" si="9"/>
        <v>9513</v>
      </c>
      <c r="H85" s="107"/>
      <c r="I85" s="34">
        <f t="shared" si="10"/>
        <v>0</v>
      </c>
      <c r="J85" s="107"/>
      <c r="K85" s="72">
        <v>0</v>
      </c>
      <c r="L85" s="107"/>
      <c r="M85" s="237">
        <v>0</v>
      </c>
      <c r="N85" s="44"/>
      <c r="O85" s="72">
        <f t="shared" si="11"/>
        <v>0</v>
      </c>
      <c r="Q85" s="72">
        <f t="shared" si="12"/>
        <v>0</v>
      </c>
      <c r="R85"/>
      <c r="S85"/>
      <c r="T85"/>
      <c r="U85"/>
    </row>
    <row r="86" spans="1:21" s="123" customFormat="1" ht="13.5" customHeight="1" x14ac:dyDescent="0.25">
      <c r="A86" s="40" t="s">
        <v>135</v>
      </c>
      <c r="B86" s="93" t="s">
        <v>284</v>
      </c>
      <c r="C86" s="42">
        <v>504620</v>
      </c>
      <c r="D86" s="42"/>
      <c r="E86" s="94" t="str">
        <f t="shared" si="13"/>
        <v>00109160504620</v>
      </c>
      <c r="F86" s="42"/>
      <c r="G86" s="34">
        <f t="shared" si="9"/>
        <v>0</v>
      </c>
      <c r="H86" s="107"/>
      <c r="I86" s="34">
        <f t="shared" si="10"/>
        <v>0</v>
      </c>
      <c r="J86" s="107"/>
      <c r="K86" s="72">
        <v>5000</v>
      </c>
      <c r="L86" s="107"/>
      <c r="M86" s="237">
        <v>5000</v>
      </c>
      <c r="N86" s="44"/>
      <c r="O86" s="72">
        <f t="shared" si="11"/>
        <v>5000</v>
      </c>
      <c r="Q86" s="72">
        <f t="shared" si="12"/>
        <v>5000</v>
      </c>
      <c r="R86"/>
      <c r="S86"/>
      <c r="T86"/>
      <c r="U86"/>
    </row>
    <row r="87" spans="1:21" s="123" customFormat="1" ht="13.5" customHeight="1" x14ac:dyDescent="0.25">
      <c r="A87" s="40" t="s">
        <v>231</v>
      </c>
      <c r="B87" s="93" t="s">
        <v>284</v>
      </c>
      <c r="C87" s="42">
        <v>504680</v>
      </c>
      <c r="D87" s="42"/>
      <c r="E87" s="94" t="str">
        <f t="shared" si="13"/>
        <v>00109160504680</v>
      </c>
      <c r="G87" s="34">
        <f t="shared" si="9"/>
        <v>0</v>
      </c>
      <c r="I87" s="34">
        <f t="shared" si="10"/>
        <v>0</v>
      </c>
      <c r="K87" s="72">
        <v>0</v>
      </c>
      <c r="M87" s="237">
        <v>0</v>
      </c>
      <c r="N87" s="42"/>
      <c r="O87" s="72">
        <f t="shared" si="11"/>
        <v>0</v>
      </c>
      <c r="P87" s="42"/>
      <c r="Q87" s="72">
        <f t="shared" si="12"/>
        <v>0</v>
      </c>
      <c r="R87"/>
      <c r="S87"/>
      <c r="T87"/>
      <c r="U87"/>
    </row>
    <row r="88" spans="1:21" s="123" customFormat="1" ht="13.5" customHeight="1" x14ac:dyDescent="0.25">
      <c r="A88" s="40" t="s">
        <v>67</v>
      </c>
      <c r="B88" s="93" t="s">
        <v>284</v>
      </c>
      <c r="C88" s="69">
        <v>504710</v>
      </c>
      <c r="D88" s="69"/>
      <c r="E88" s="94" t="str">
        <f t="shared" si="13"/>
        <v>00109160504710</v>
      </c>
      <c r="F88" s="42"/>
      <c r="G88" s="34">
        <f t="shared" si="9"/>
        <v>1307</v>
      </c>
      <c r="H88" s="107"/>
      <c r="I88" s="34">
        <f t="shared" si="10"/>
        <v>1638</v>
      </c>
      <c r="J88" s="107"/>
      <c r="K88" s="72">
        <v>3000</v>
      </c>
      <c r="L88" s="107"/>
      <c r="M88" s="237">
        <v>3000</v>
      </c>
      <c r="N88" s="44"/>
      <c r="O88" s="72">
        <f t="shared" si="11"/>
        <v>3000</v>
      </c>
      <c r="Q88" s="72">
        <f t="shared" si="12"/>
        <v>3000</v>
      </c>
      <c r="R88"/>
      <c r="S88"/>
      <c r="T88"/>
      <c r="U88"/>
    </row>
    <row r="89" spans="1:21" s="123" customFormat="1" ht="13.5" customHeight="1" x14ac:dyDescent="0.25">
      <c r="A89" s="40" t="s">
        <v>233</v>
      </c>
      <c r="B89" s="93" t="s">
        <v>284</v>
      </c>
      <c r="C89" s="69">
        <v>504810</v>
      </c>
      <c r="D89" s="69"/>
      <c r="E89" s="94" t="str">
        <f t="shared" si="13"/>
        <v>00109160504810</v>
      </c>
      <c r="F89" s="42"/>
      <c r="G89" s="34">
        <f t="shared" si="9"/>
        <v>2342</v>
      </c>
      <c r="H89" s="107"/>
      <c r="I89" s="34">
        <f t="shared" si="10"/>
        <v>2144</v>
      </c>
      <c r="J89" s="107"/>
      <c r="K89" s="72">
        <v>500</v>
      </c>
      <c r="L89" s="107"/>
      <c r="M89" s="237">
        <v>500</v>
      </c>
      <c r="N89" s="44"/>
      <c r="O89" s="72">
        <f t="shared" si="11"/>
        <v>500</v>
      </c>
      <c r="Q89" s="72">
        <f t="shared" si="12"/>
        <v>500</v>
      </c>
      <c r="R89"/>
      <c r="S89"/>
      <c r="T89"/>
      <c r="U89"/>
    </row>
    <row r="90" spans="1:21" s="123" customFormat="1" ht="13.5" customHeight="1" x14ac:dyDescent="0.25">
      <c r="A90" s="60" t="s">
        <v>347</v>
      </c>
      <c r="B90" s="93" t="s">
        <v>284</v>
      </c>
      <c r="C90" s="69"/>
      <c r="D90" s="69"/>
      <c r="E90" s="94" t="str">
        <f t="shared" si="13"/>
        <v>00109160</v>
      </c>
      <c r="F90" s="42"/>
      <c r="G90" s="34">
        <f t="shared" si="9"/>
        <v>0</v>
      </c>
      <c r="H90" s="107"/>
      <c r="I90" s="34">
        <f t="shared" si="10"/>
        <v>0</v>
      </c>
      <c r="J90" s="107"/>
      <c r="K90" s="72">
        <v>2000</v>
      </c>
      <c r="L90" s="107"/>
      <c r="M90" s="237">
        <v>2000</v>
      </c>
      <c r="N90" s="44"/>
      <c r="O90" s="72">
        <f t="shared" si="11"/>
        <v>2000</v>
      </c>
      <c r="Q90" s="72">
        <f t="shared" si="12"/>
        <v>2000</v>
      </c>
      <c r="R90"/>
      <c r="S90"/>
      <c r="T90"/>
      <c r="U90"/>
    </row>
    <row r="91" spans="1:21" s="123" customFormat="1" ht="13.5" customHeight="1" x14ac:dyDescent="0.25">
      <c r="A91" s="40" t="s">
        <v>235</v>
      </c>
      <c r="B91" s="93" t="s">
        <v>284</v>
      </c>
      <c r="C91" s="69">
        <v>504870</v>
      </c>
      <c r="D91" s="69"/>
      <c r="E91" s="94" t="str">
        <f t="shared" si="13"/>
        <v>00109160504870</v>
      </c>
      <c r="F91" s="42"/>
      <c r="G91" s="34">
        <f t="shared" si="9"/>
        <v>36601</v>
      </c>
      <c r="H91" s="107"/>
      <c r="I91" s="34">
        <f t="shared" si="10"/>
        <v>34961</v>
      </c>
      <c r="J91" s="107"/>
      <c r="K91" s="72">
        <v>45000</v>
      </c>
      <c r="L91" s="107"/>
      <c r="M91" s="237">
        <v>45000</v>
      </c>
      <c r="N91" s="44"/>
      <c r="O91" s="72">
        <f t="shared" si="11"/>
        <v>45000</v>
      </c>
      <c r="Q91" s="72">
        <f t="shared" si="12"/>
        <v>45000</v>
      </c>
      <c r="R91"/>
      <c r="S91"/>
      <c r="T91"/>
      <c r="U91"/>
    </row>
    <row r="92" spans="1:21" s="123" customFormat="1" ht="13.5" customHeight="1" x14ac:dyDescent="0.25">
      <c r="A92" s="60" t="s">
        <v>348</v>
      </c>
      <c r="B92" s="93" t="s">
        <v>284</v>
      </c>
      <c r="C92" s="69"/>
      <c r="D92" s="69"/>
      <c r="E92" s="94" t="str">
        <f t="shared" si="13"/>
        <v>00109160</v>
      </c>
      <c r="F92" s="42"/>
      <c r="G92" s="34">
        <f t="shared" si="9"/>
        <v>0</v>
      </c>
      <c r="H92" s="107"/>
      <c r="I92" s="34">
        <f t="shared" si="10"/>
        <v>0</v>
      </c>
      <c r="J92" s="107"/>
      <c r="K92" s="72">
        <v>3000</v>
      </c>
      <c r="L92" s="107"/>
      <c r="M92" s="237">
        <v>3000</v>
      </c>
      <c r="N92" s="44"/>
      <c r="O92" s="72">
        <f t="shared" si="11"/>
        <v>3000</v>
      </c>
      <c r="Q92" s="72">
        <f t="shared" si="12"/>
        <v>3000</v>
      </c>
      <c r="R92"/>
      <c r="S92"/>
      <c r="T92"/>
      <c r="U92"/>
    </row>
    <row r="93" spans="1:21" s="123" customFormat="1" ht="13.5" customHeight="1" x14ac:dyDescent="0.25">
      <c r="A93" s="40" t="s">
        <v>349</v>
      </c>
      <c r="B93" s="93" t="s">
        <v>284</v>
      </c>
      <c r="C93" s="69">
        <v>504910</v>
      </c>
      <c r="D93" s="69"/>
      <c r="E93" s="94" t="str">
        <f t="shared" si="13"/>
        <v>00109160504910</v>
      </c>
      <c r="F93" s="42"/>
      <c r="G93" s="34">
        <f t="shared" si="9"/>
        <v>0</v>
      </c>
      <c r="H93" s="107"/>
      <c r="I93" s="34">
        <f t="shared" si="10"/>
        <v>0</v>
      </c>
      <c r="J93" s="107"/>
      <c r="K93" s="72">
        <v>0</v>
      </c>
      <c r="L93" s="107"/>
      <c r="M93" s="237">
        <v>0</v>
      </c>
      <c r="N93" s="44"/>
      <c r="O93" s="72">
        <f t="shared" si="11"/>
        <v>0</v>
      </c>
      <c r="Q93" s="72">
        <f t="shared" si="12"/>
        <v>0</v>
      </c>
      <c r="R93"/>
      <c r="S93"/>
      <c r="T93"/>
      <c r="U93"/>
    </row>
    <row r="94" spans="1:21" s="123" customFormat="1" ht="13.5" customHeight="1" x14ac:dyDescent="0.25">
      <c r="A94" s="40" t="s">
        <v>68</v>
      </c>
      <c r="B94" s="93" t="s">
        <v>284</v>
      </c>
      <c r="C94" s="69">
        <v>505101</v>
      </c>
      <c r="D94" s="69"/>
      <c r="E94" s="94" t="str">
        <f t="shared" si="13"/>
        <v>00109160505101</v>
      </c>
      <c r="F94" s="42"/>
      <c r="G94" s="34">
        <f t="shared" si="9"/>
        <v>0</v>
      </c>
      <c r="H94" s="107"/>
      <c r="I94" s="34">
        <f t="shared" si="10"/>
        <v>-104</v>
      </c>
      <c r="J94" s="107"/>
      <c r="K94" s="72">
        <v>0</v>
      </c>
      <c r="L94" s="107"/>
      <c r="M94" s="237">
        <v>0</v>
      </c>
      <c r="N94" s="44"/>
      <c r="O94" s="72">
        <f t="shared" si="11"/>
        <v>0</v>
      </c>
      <c r="Q94" s="72">
        <f t="shared" si="12"/>
        <v>0</v>
      </c>
      <c r="R94"/>
      <c r="S94"/>
      <c r="T94"/>
      <c r="U94"/>
    </row>
    <row r="95" spans="1:21" s="123" customFormat="1" ht="13.5" customHeight="1" x14ac:dyDescent="0.25">
      <c r="A95" s="40" t="s">
        <v>350</v>
      </c>
      <c r="B95" s="93" t="s">
        <v>284</v>
      </c>
      <c r="C95" s="69">
        <v>505200</v>
      </c>
      <c r="D95" s="69"/>
      <c r="E95" s="94" t="str">
        <f t="shared" si="13"/>
        <v>00109160505200</v>
      </c>
      <c r="F95" s="42"/>
      <c r="G95" s="34">
        <f t="shared" si="9"/>
        <v>2884</v>
      </c>
      <c r="H95" s="107"/>
      <c r="I95" s="34">
        <f t="shared" si="10"/>
        <v>2801</v>
      </c>
      <c r="J95" s="107"/>
      <c r="K95" s="72">
        <v>0</v>
      </c>
      <c r="L95" s="107"/>
      <c r="M95" s="237">
        <v>0</v>
      </c>
      <c r="N95" s="44"/>
      <c r="O95" s="72">
        <f t="shared" si="11"/>
        <v>0</v>
      </c>
      <c r="Q95" s="72">
        <f t="shared" si="12"/>
        <v>0</v>
      </c>
      <c r="R95"/>
      <c r="S95"/>
      <c r="T95"/>
      <c r="U95"/>
    </row>
    <row r="96" spans="1:21" s="123" customFormat="1" ht="13.5" customHeight="1" x14ac:dyDescent="0.25">
      <c r="A96" s="99" t="s">
        <v>351</v>
      </c>
      <c r="B96" s="93" t="s">
        <v>284</v>
      </c>
      <c r="C96" s="69"/>
      <c r="D96" s="69"/>
      <c r="E96" s="94" t="str">
        <f t="shared" si="13"/>
        <v>00109160</v>
      </c>
      <c r="F96" s="42"/>
      <c r="G96" s="34">
        <f t="shared" si="9"/>
        <v>0</v>
      </c>
      <c r="H96" s="107"/>
      <c r="I96" s="34">
        <f t="shared" si="10"/>
        <v>0</v>
      </c>
      <c r="J96" s="107"/>
      <c r="K96" s="72"/>
      <c r="L96" s="107"/>
      <c r="M96" s="237"/>
      <c r="N96" s="44"/>
      <c r="O96" s="72"/>
      <c r="Q96" s="72"/>
      <c r="R96"/>
      <c r="S96"/>
      <c r="T96"/>
      <c r="U96"/>
    </row>
    <row r="97" spans="1:21" s="123" customFormat="1" ht="13.5" customHeight="1" x14ac:dyDescent="0.25">
      <c r="A97" s="40" t="s">
        <v>69</v>
      </c>
      <c r="B97" s="93" t="s">
        <v>284</v>
      </c>
      <c r="C97" s="69">
        <v>505201</v>
      </c>
      <c r="D97" s="69"/>
      <c r="E97" s="94" t="str">
        <f t="shared" si="13"/>
        <v>00109160505201</v>
      </c>
      <c r="F97" s="42" t="s">
        <v>19</v>
      </c>
      <c r="G97" s="34">
        <f t="shared" si="9"/>
        <v>8868</v>
      </c>
      <c r="H97" s="42" t="s">
        <v>19</v>
      </c>
      <c r="I97" s="34">
        <f t="shared" si="10"/>
        <v>8809</v>
      </c>
      <c r="J97" s="42" t="s">
        <v>19</v>
      </c>
      <c r="K97" s="72">
        <v>14000</v>
      </c>
      <c r="L97" s="42" t="s">
        <v>19</v>
      </c>
      <c r="M97" s="237">
        <v>14000</v>
      </c>
      <c r="N97" s="42" t="s">
        <v>19</v>
      </c>
      <c r="O97" s="72">
        <f t="shared" si="11"/>
        <v>14000</v>
      </c>
      <c r="P97" s="42" t="s">
        <v>19</v>
      </c>
      <c r="Q97" s="72">
        <f t="shared" si="12"/>
        <v>14000</v>
      </c>
      <c r="R97"/>
      <c r="S97"/>
      <c r="T97"/>
      <c r="U97"/>
    </row>
    <row r="98" spans="1:21" s="123" customFormat="1" ht="13.5" customHeight="1" x14ac:dyDescent="0.25">
      <c r="A98" s="40" t="s">
        <v>238</v>
      </c>
      <c r="B98" s="93" t="s">
        <v>284</v>
      </c>
      <c r="C98" s="69">
        <v>505250</v>
      </c>
      <c r="D98" s="69"/>
      <c r="E98" s="94" t="str">
        <f t="shared" si="13"/>
        <v>00109160505250</v>
      </c>
      <c r="G98" s="34">
        <f t="shared" si="9"/>
        <v>0</v>
      </c>
      <c r="I98" s="34">
        <f t="shared" si="10"/>
        <v>544</v>
      </c>
      <c r="K98" s="72">
        <v>0</v>
      </c>
      <c r="M98" s="237">
        <v>0</v>
      </c>
      <c r="N98" s="44"/>
      <c r="O98" s="72">
        <f t="shared" si="11"/>
        <v>0</v>
      </c>
      <c r="P98" s="15"/>
      <c r="Q98" s="72">
        <f t="shared" si="12"/>
        <v>0</v>
      </c>
      <c r="R98"/>
      <c r="S98"/>
      <c r="T98"/>
      <c r="U98"/>
    </row>
    <row r="99" spans="1:21" s="123" customFormat="1" ht="13.5" customHeight="1" x14ac:dyDescent="0.25">
      <c r="A99" s="60" t="s">
        <v>352</v>
      </c>
      <c r="B99" s="93" t="s">
        <v>284</v>
      </c>
      <c r="C99" s="69">
        <v>505250</v>
      </c>
      <c r="D99" s="69" t="s">
        <v>342</v>
      </c>
      <c r="E99" s="94" t="str">
        <f t="shared" si="13"/>
        <v>00109160505250LR030</v>
      </c>
      <c r="F99" s="42"/>
      <c r="G99" s="34">
        <f t="shared" si="9"/>
        <v>52316</v>
      </c>
      <c r="H99" s="107"/>
      <c r="I99" s="34">
        <f t="shared" si="10"/>
        <v>67032</v>
      </c>
      <c r="J99" s="107"/>
      <c r="K99" s="72">
        <v>125000</v>
      </c>
      <c r="L99" s="107"/>
      <c r="M99" s="237">
        <v>125000</v>
      </c>
      <c r="N99" s="44"/>
      <c r="O99" s="72">
        <f>M99</f>
        <v>125000</v>
      </c>
      <c r="P99" s="15"/>
      <c r="Q99" s="72">
        <f>O99</f>
        <v>125000</v>
      </c>
      <c r="R99"/>
      <c r="S99"/>
      <c r="T99"/>
      <c r="U99"/>
    </row>
    <row r="100" spans="1:21" s="123" customFormat="1" ht="13.5" customHeight="1" x14ac:dyDescent="0.25">
      <c r="A100" s="60" t="s">
        <v>353</v>
      </c>
      <c r="B100" s="93" t="s">
        <v>284</v>
      </c>
      <c r="C100" s="69">
        <v>505250</v>
      </c>
      <c r="D100" s="69" t="s">
        <v>344</v>
      </c>
      <c r="E100" s="94" t="str">
        <f t="shared" si="13"/>
        <v>00109160505250LR035</v>
      </c>
      <c r="F100" s="42"/>
      <c r="G100" s="34">
        <f t="shared" si="9"/>
        <v>47504</v>
      </c>
      <c r="H100" s="107"/>
      <c r="I100" s="34">
        <f t="shared" si="10"/>
        <v>43064</v>
      </c>
      <c r="J100" s="107"/>
      <c r="K100" s="72">
        <v>52000</v>
      </c>
      <c r="L100" s="107"/>
      <c r="M100" s="237">
        <v>52000</v>
      </c>
      <c r="N100" s="44"/>
      <c r="O100" s="72">
        <f>M100</f>
        <v>52000</v>
      </c>
      <c r="P100" s="15"/>
      <c r="Q100" s="72">
        <f>O100</f>
        <v>52000</v>
      </c>
      <c r="R100"/>
      <c r="S100"/>
      <c r="T100"/>
      <c r="U100"/>
    </row>
    <row r="101" spans="1:21" s="123" customFormat="1" ht="13.5" customHeight="1" x14ac:dyDescent="0.25">
      <c r="A101" s="40" t="s">
        <v>354</v>
      </c>
      <c r="B101" s="93" t="s">
        <v>284</v>
      </c>
      <c r="C101" s="69">
        <v>505255</v>
      </c>
      <c r="D101" s="69"/>
      <c r="E101" s="94" t="str">
        <f t="shared" si="13"/>
        <v>00109160505255</v>
      </c>
      <c r="F101" s="42"/>
      <c r="G101" s="34">
        <f t="shared" si="9"/>
        <v>0</v>
      </c>
      <c r="H101" s="107"/>
      <c r="I101" s="34">
        <f t="shared" si="10"/>
        <v>0</v>
      </c>
      <c r="J101" s="107"/>
      <c r="K101" s="72"/>
      <c r="L101" s="107"/>
      <c r="M101" s="237"/>
      <c r="N101" s="44"/>
      <c r="O101" s="72"/>
      <c r="P101" s="15"/>
      <c r="Q101" s="72"/>
      <c r="R101"/>
      <c r="S101"/>
      <c r="T101"/>
      <c r="U101"/>
    </row>
    <row r="102" spans="1:21" s="123" customFormat="1" ht="13.5" customHeight="1" x14ac:dyDescent="0.25">
      <c r="A102" s="60" t="s">
        <v>355</v>
      </c>
      <c r="B102" s="93" t="s">
        <v>284</v>
      </c>
      <c r="C102" s="69"/>
      <c r="D102" s="69"/>
      <c r="E102" s="94" t="str">
        <f t="shared" si="13"/>
        <v>00109160</v>
      </c>
      <c r="F102" s="42"/>
      <c r="G102" s="34">
        <f t="shared" si="9"/>
        <v>0</v>
      </c>
      <c r="H102" s="107"/>
      <c r="I102" s="34">
        <f t="shared" si="10"/>
        <v>0</v>
      </c>
      <c r="J102" s="107"/>
      <c r="K102" s="72">
        <v>80000</v>
      </c>
      <c r="L102" s="107"/>
      <c r="M102" s="237">
        <v>80000</v>
      </c>
      <c r="N102" s="44"/>
      <c r="O102" s="72">
        <f>M102</f>
        <v>80000</v>
      </c>
      <c r="P102" s="15"/>
      <c r="Q102" s="72">
        <f>O102</f>
        <v>80000</v>
      </c>
      <c r="R102"/>
      <c r="S102"/>
      <c r="T102"/>
      <c r="U102"/>
    </row>
    <row r="103" spans="1:21" s="123" customFormat="1" ht="13.5" customHeight="1" x14ac:dyDescent="0.25">
      <c r="A103" s="60" t="s">
        <v>356</v>
      </c>
      <c r="B103" s="93" t="s">
        <v>284</v>
      </c>
      <c r="C103" s="69">
        <v>505255</v>
      </c>
      <c r="D103" s="69" t="s">
        <v>357</v>
      </c>
      <c r="E103" s="94" t="str">
        <f t="shared" si="13"/>
        <v>00109160505255LR005</v>
      </c>
      <c r="F103" s="42"/>
      <c r="G103" s="34">
        <f t="shared" si="9"/>
        <v>531465</v>
      </c>
      <c r="H103" s="107"/>
      <c r="I103" s="34">
        <f t="shared" si="10"/>
        <v>474667</v>
      </c>
      <c r="J103" s="107"/>
      <c r="K103" s="72">
        <v>675000</v>
      </c>
      <c r="L103" s="107"/>
      <c r="M103" s="237">
        <v>675000</v>
      </c>
      <c r="N103" s="44"/>
      <c r="O103" s="72">
        <f t="shared" si="11"/>
        <v>675000</v>
      </c>
      <c r="P103" s="15"/>
      <c r="Q103" s="72">
        <f t="shared" si="12"/>
        <v>675000</v>
      </c>
      <c r="R103"/>
      <c r="S103"/>
      <c r="T103"/>
      <c r="U103"/>
    </row>
    <row r="104" spans="1:21" s="123" customFormat="1" ht="13.5" customHeight="1" x14ac:dyDescent="0.25">
      <c r="A104" s="60" t="s">
        <v>358</v>
      </c>
      <c r="B104" s="93" t="s">
        <v>284</v>
      </c>
      <c r="C104" s="69">
        <v>505255</v>
      </c>
      <c r="D104" s="69" t="s">
        <v>359</v>
      </c>
      <c r="E104" s="94" t="str">
        <f t="shared" si="13"/>
        <v>00109160505255LR010</v>
      </c>
      <c r="F104" s="42"/>
      <c r="G104" s="34">
        <f t="shared" si="9"/>
        <v>21388</v>
      </c>
      <c r="H104" s="107"/>
      <c r="I104" s="34">
        <f t="shared" si="10"/>
        <v>7095</v>
      </c>
      <c r="J104" s="107"/>
      <c r="K104" s="72">
        <v>18000</v>
      </c>
      <c r="L104" s="107"/>
      <c r="M104" s="237">
        <v>18000</v>
      </c>
      <c r="N104" s="44"/>
      <c r="O104" s="72">
        <f t="shared" si="11"/>
        <v>18000</v>
      </c>
      <c r="P104" s="15"/>
      <c r="Q104" s="72">
        <f t="shared" si="12"/>
        <v>18000</v>
      </c>
      <c r="R104"/>
      <c r="S104"/>
      <c r="T104"/>
      <c r="U104"/>
    </row>
    <row r="105" spans="1:21" s="123" customFormat="1" ht="13.5" customHeight="1" x14ac:dyDescent="0.25">
      <c r="A105" s="60" t="s">
        <v>360</v>
      </c>
      <c r="B105" s="93" t="s">
        <v>284</v>
      </c>
      <c r="C105" s="69">
        <v>505255</v>
      </c>
      <c r="D105" s="69" t="s">
        <v>361</v>
      </c>
      <c r="E105" s="94" t="str">
        <f t="shared" si="13"/>
        <v>00109160505255LR015</v>
      </c>
      <c r="F105" s="42"/>
      <c r="G105" s="34">
        <f t="shared" si="9"/>
        <v>14550</v>
      </c>
      <c r="H105" s="107"/>
      <c r="I105" s="34">
        <f t="shared" si="10"/>
        <v>17075</v>
      </c>
      <c r="J105" s="107"/>
      <c r="K105" s="72">
        <v>15500</v>
      </c>
      <c r="L105" s="107"/>
      <c r="M105" s="237">
        <v>15500</v>
      </c>
      <c r="N105" s="44"/>
      <c r="O105" s="72">
        <f t="shared" si="11"/>
        <v>15500</v>
      </c>
      <c r="P105" s="15"/>
      <c r="Q105" s="72">
        <f t="shared" si="12"/>
        <v>15500</v>
      </c>
      <c r="R105"/>
      <c r="S105"/>
      <c r="T105"/>
      <c r="U105"/>
    </row>
    <row r="106" spans="1:21" s="123" customFormat="1" ht="13.5" customHeight="1" x14ac:dyDescent="0.25">
      <c r="A106" s="60" t="s">
        <v>362</v>
      </c>
      <c r="B106" s="93" t="s">
        <v>284</v>
      </c>
      <c r="C106" s="69">
        <v>505255</v>
      </c>
      <c r="D106" s="69" t="s">
        <v>363</v>
      </c>
      <c r="E106" s="94" t="str">
        <f t="shared" si="13"/>
        <v>00109160505255LR020</v>
      </c>
      <c r="F106" s="42"/>
      <c r="G106" s="34">
        <f t="shared" si="9"/>
        <v>19272</v>
      </c>
      <c r="H106" s="107"/>
      <c r="I106" s="34">
        <f t="shared" si="10"/>
        <v>23087</v>
      </c>
      <c r="J106" s="107"/>
      <c r="K106" s="72">
        <v>30000</v>
      </c>
      <c r="L106" s="107"/>
      <c r="M106" s="237">
        <v>30000</v>
      </c>
      <c r="N106" s="44"/>
      <c r="O106" s="72">
        <f t="shared" si="11"/>
        <v>30000</v>
      </c>
      <c r="P106" s="15"/>
      <c r="Q106" s="72">
        <f t="shared" si="12"/>
        <v>30000</v>
      </c>
      <c r="R106"/>
      <c r="S106"/>
      <c r="T106"/>
      <c r="U106"/>
    </row>
    <row r="107" spans="1:21" s="123" customFormat="1" ht="13.5" customHeight="1" x14ac:dyDescent="0.25">
      <c r="A107" s="60" t="s">
        <v>364</v>
      </c>
      <c r="B107" s="93" t="s">
        <v>284</v>
      </c>
      <c r="C107" s="69">
        <v>505255</v>
      </c>
      <c r="D107" s="69" t="s">
        <v>365</v>
      </c>
      <c r="E107" s="94" t="str">
        <f t="shared" si="13"/>
        <v>00109160505255LR025</v>
      </c>
      <c r="F107" s="42"/>
      <c r="G107" s="34">
        <f t="shared" si="9"/>
        <v>14700</v>
      </c>
      <c r="H107" s="107"/>
      <c r="I107" s="34">
        <f t="shared" si="10"/>
        <v>18593</v>
      </c>
      <c r="J107" s="107"/>
      <c r="K107" s="72">
        <v>23750</v>
      </c>
      <c r="L107" s="107"/>
      <c r="M107" s="237">
        <v>23750</v>
      </c>
      <c r="N107" s="44"/>
      <c r="O107" s="72">
        <f t="shared" si="11"/>
        <v>23750</v>
      </c>
      <c r="P107" s="15"/>
      <c r="Q107" s="72">
        <f t="shared" si="12"/>
        <v>23750</v>
      </c>
      <c r="R107"/>
      <c r="S107"/>
      <c r="T107"/>
      <c r="U107"/>
    </row>
    <row r="108" spans="1:21" s="123" customFormat="1" ht="13.5" customHeight="1" x14ac:dyDescent="0.25">
      <c r="A108" s="40" t="s">
        <v>70</v>
      </c>
      <c r="B108" s="93" t="s">
        <v>284</v>
      </c>
      <c r="C108" s="69">
        <v>505260</v>
      </c>
      <c r="D108" s="69"/>
      <c r="E108" s="94" t="str">
        <f t="shared" si="13"/>
        <v>00109160505260</v>
      </c>
      <c r="F108" s="42"/>
      <c r="G108" s="34">
        <f t="shared" si="9"/>
        <v>222</v>
      </c>
      <c r="H108" s="107"/>
      <c r="I108" s="34">
        <f t="shared" si="10"/>
        <v>1644</v>
      </c>
      <c r="J108" s="107"/>
      <c r="K108" s="72">
        <v>0</v>
      </c>
      <c r="L108" s="107"/>
      <c r="M108" s="237">
        <v>0</v>
      </c>
      <c r="N108" s="44"/>
      <c r="O108" s="72">
        <f t="shared" si="11"/>
        <v>0</v>
      </c>
      <c r="Q108" s="72">
        <f t="shared" si="12"/>
        <v>0</v>
      </c>
      <c r="R108"/>
      <c r="S108"/>
      <c r="T108"/>
      <c r="U108"/>
    </row>
    <row r="109" spans="1:21" s="123" customFormat="1" ht="13.5" customHeight="1" x14ac:dyDescent="0.25">
      <c r="A109" s="60" t="s">
        <v>366</v>
      </c>
      <c r="B109" s="93" t="s">
        <v>284</v>
      </c>
      <c r="C109" s="69"/>
      <c r="D109" s="69"/>
      <c r="E109" s="94" t="str">
        <f t="shared" si="13"/>
        <v>00109160</v>
      </c>
      <c r="F109" s="42"/>
      <c r="G109" s="34">
        <f t="shared" si="9"/>
        <v>0</v>
      </c>
      <c r="H109" s="107"/>
      <c r="I109" s="34">
        <f t="shared" si="10"/>
        <v>0</v>
      </c>
      <c r="J109" s="107"/>
      <c r="K109" s="72">
        <v>1500</v>
      </c>
      <c r="L109" s="107"/>
      <c r="M109" s="237">
        <v>1500</v>
      </c>
      <c r="N109" s="44"/>
      <c r="O109" s="72">
        <f t="shared" si="11"/>
        <v>1500</v>
      </c>
      <c r="Q109" s="72">
        <f t="shared" si="12"/>
        <v>1500</v>
      </c>
      <c r="R109"/>
      <c r="S109"/>
      <c r="T109"/>
      <c r="U109"/>
    </row>
    <row r="110" spans="1:21" s="123" customFormat="1" ht="13.5" customHeight="1" x14ac:dyDescent="0.25">
      <c r="A110" s="40" t="s">
        <v>367</v>
      </c>
      <c r="B110" s="93" t="s">
        <v>284</v>
      </c>
      <c r="C110" s="69">
        <v>505401</v>
      </c>
      <c r="D110" s="69"/>
      <c r="E110" s="94" t="str">
        <f t="shared" si="13"/>
        <v>00109160505401</v>
      </c>
      <c r="F110" s="42"/>
      <c r="G110" s="34">
        <f t="shared" si="9"/>
        <v>0</v>
      </c>
      <c r="H110" s="107"/>
      <c r="I110" s="34">
        <f t="shared" si="10"/>
        <v>0</v>
      </c>
      <c r="J110" s="107"/>
      <c r="K110" s="72">
        <v>200</v>
      </c>
      <c r="L110" s="107"/>
      <c r="M110" s="237">
        <v>200</v>
      </c>
      <c r="N110" s="44"/>
      <c r="O110" s="72">
        <f t="shared" si="11"/>
        <v>200</v>
      </c>
      <c r="Q110" s="72">
        <f t="shared" si="12"/>
        <v>200</v>
      </c>
      <c r="R110"/>
      <c r="S110"/>
      <c r="T110"/>
      <c r="U110"/>
    </row>
    <row r="111" spans="1:21" s="123" customFormat="1" ht="13.5" customHeight="1" x14ac:dyDescent="0.25">
      <c r="A111" s="40" t="s">
        <v>368</v>
      </c>
      <c r="B111" s="93" t="s">
        <v>284</v>
      </c>
      <c r="C111" s="69">
        <v>505501</v>
      </c>
      <c r="D111" s="69"/>
      <c r="E111" s="94" t="str">
        <f t="shared" si="13"/>
        <v>00109160505501</v>
      </c>
      <c r="F111" s="42"/>
      <c r="G111" s="34">
        <f t="shared" si="9"/>
        <v>0</v>
      </c>
      <c r="H111" s="107"/>
      <c r="I111" s="34">
        <f t="shared" si="10"/>
        <v>0</v>
      </c>
      <c r="J111" s="107"/>
      <c r="K111" s="72">
        <v>0</v>
      </c>
      <c r="L111" s="107"/>
      <c r="M111" s="237">
        <v>0</v>
      </c>
      <c r="N111" s="44"/>
      <c r="O111" s="72">
        <f t="shared" si="11"/>
        <v>0</v>
      </c>
      <c r="Q111" s="72">
        <f t="shared" si="12"/>
        <v>0</v>
      </c>
      <c r="R111"/>
      <c r="S111"/>
      <c r="T111"/>
      <c r="U111"/>
    </row>
    <row r="112" spans="1:21" s="123" customFormat="1" ht="13.5" customHeight="1" x14ac:dyDescent="0.25">
      <c r="A112" s="40" t="s">
        <v>143</v>
      </c>
      <c r="B112" s="93" t="s">
        <v>284</v>
      </c>
      <c r="C112" s="69">
        <v>505505</v>
      </c>
      <c r="D112" s="69"/>
      <c r="E112" s="94" t="str">
        <f t="shared" si="13"/>
        <v>00109160505505</v>
      </c>
      <c r="F112" s="42"/>
      <c r="G112" s="34">
        <f t="shared" si="9"/>
        <v>0</v>
      </c>
      <c r="H112" s="107"/>
      <c r="I112" s="34">
        <f t="shared" si="10"/>
        <v>0</v>
      </c>
      <c r="J112" s="107"/>
      <c r="K112" s="72">
        <v>0</v>
      </c>
      <c r="L112" s="107"/>
      <c r="M112" s="237">
        <v>0</v>
      </c>
      <c r="N112" s="44"/>
      <c r="O112" s="72">
        <f t="shared" si="11"/>
        <v>0</v>
      </c>
      <c r="Q112" s="72">
        <f t="shared" si="12"/>
        <v>0</v>
      </c>
      <c r="R112"/>
      <c r="S112"/>
      <c r="T112"/>
      <c r="U112"/>
    </row>
    <row r="113" spans="1:21" s="123" customFormat="1" ht="13.5" customHeight="1" x14ac:dyDescent="0.25">
      <c r="A113" s="40" t="s">
        <v>144</v>
      </c>
      <c r="B113" s="93" t="s">
        <v>284</v>
      </c>
      <c r="C113" s="69">
        <v>505532</v>
      </c>
      <c r="D113" s="69"/>
      <c r="E113" s="94" t="str">
        <f t="shared" si="13"/>
        <v>00109160505532</v>
      </c>
      <c r="F113" s="42"/>
      <c r="G113" s="34">
        <f t="shared" si="9"/>
        <v>0</v>
      </c>
      <c r="H113" s="107"/>
      <c r="I113" s="34">
        <f t="shared" si="10"/>
        <v>0</v>
      </c>
      <c r="J113" s="107"/>
      <c r="K113" s="72">
        <v>0</v>
      </c>
      <c r="L113" s="107"/>
      <c r="M113" s="237">
        <v>0</v>
      </c>
      <c r="N113" s="44"/>
      <c r="O113" s="72">
        <f t="shared" si="11"/>
        <v>0</v>
      </c>
      <c r="Q113" s="72">
        <f t="shared" si="12"/>
        <v>0</v>
      </c>
      <c r="R113"/>
      <c r="S113"/>
      <c r="T113"/>
      <c r="U113"/>
    </row>
    <row r="114" spans="1:21" s="123" customFormat="1" ht="13.5" customHeight="1" x14ac:dyDescent="0.25">
      <c r="A114" s="40" t="s">
        <v>145</v>
      </c>
      <c r="B114" s="93" t="s">
        <v>284</v>
      </c>
      <c r="C114" s="69">
        <v>505540</v>
      </c>
      <c r="D114" s="69"/>
      <c r="E114" s="94" t="str">
        <f t="shared" si="13"/>
        <v>00109160505540</v>
      </c>
      <c r="F114" s="42"/>
      <c r="G114" s="34">
        <f t="shared" si="9"/>
        <v>0</v>
      </c>
      <c r="H114" s="107"/>
      <c r="I114" s="34">
        <f t="shared" si="10"/>
        <v>0</v>
      </c>
      <c r="J114" s="107"/>
      <c r="K114" s="72">
        <v>0</v>
      </c>
      <c r="L114" s="107"/>
      <c r="M114" s="237">
        <v>0</v>
      </c>
      <c r="N114" s="44"/>
      <c r="O114" s="72">
        <f t="shared" si="11"/>
        <v>0</v>
      </c>
      <c r="Q114" s="72">
        <f t="shared" si="12"/>
        <v>0</v>
      </c>
      <c r="R114"/>
      <c r="S114"/>
      <c r="T114"/>
      <c r="U114"/>
    </row>
    <row r="115" spans="1:21" s="123" customFormat="1" ht="13.5" customHeight="1" x14ac:dyDescent="0.25">
      <c r="A115" s="40" t="s">
        <v>72</v>
      </c>
      <c r="B115" s="93" t="s">
        <v>284</v>
      </c>
      <c r="C115" s="69">
        <v>505550</v>
      </c>
      <c r="D115" s="69"/>
      <c r="E115" s="94" t="str">
        <f t="shared" si="13"/>
        <v>00109160505550</v>
      </c>
      <c r="F115" s="42"/>
      <c r="G115" s="34">
        <f t="shared" si="9"/>
        <v>170</v>
      </c>
      <c r="H115" s="107"/>
      <c r="I115" s="34">
        <f t="shared" si="10"/>
        <v>114</v>
      </c>
      <c r="J115" s="107"/>
      <c r="K115" s="72">
        <v>550</v>
      </c>
      <c r="L115" s="107"/>
      <c r="M115" s="237">
        <v>550</v>
      </c>
      <c r="N115" s="44"/>
      <c r="O115" s="72">
        <f t="shared" si="11"/>
        <v>550</v>
      </c>
      <c r="Q115" s="72">
        <f t="shared" si="12"/>
        <v>550</v>
      </c>
      <c r="R115"/>
      <c r="S115"/>
      <c r="T115"/>
      <c r="U115"/>
    </row>
    <row r="116" spans="1:21" s="123" customFormat="1" ht="13.5" customHeight="1" x14ac:dyDescent="0.25">
      <c r="A116" s="40" t="s">
        <v>369</v>
      </c>
      <c r="B116" s="93" t="s">
        <v>284</v>
      </c>
      <c r="C116" s="69">
        <v>505701</v>
      </c>
      <c r="D116" s="69"/>
      <c r="E116" s="94" t="str">
        <f t="shared" si="13"/>
        <v>00109160505701</v>
      </c>
      <c r="F116" s="42"/>
      <c r="G116" s="34">
        <f t="shared" si="9"/>
        <v>0</v>
      </c>
      <c r="H116" s="43"/>
      <c r="I116" s="34">
        <f t="shared" si="10"/>
        <v>0</v>
      </c>
      <c r="J116" s="43"/>
      <c r="K116" s="72">
        <v>0</v>
      </c>
      <c r="L116" s="43"/>
      <c r="M116" s="237">
        <v>0</v>
      </c>
      <c r="N116" s="44"/>
      <c r="O116" s="72">
        <f t="shared" si="11"/>
        <v>0</v>
      </c>
      <c r="Q116" s="72">
        <f t="shared" si="12"/>
        <v>0</v>
      </c>
      <c r="R116"/>
      <c r="S116"/>
      <c r="T116"/>
      <c r="U116"/>
    </row>
    <row r="117" spans="1:21" s="123" customFormat="1" ht="13.5" customHeight="1" x14ac:dyDescent="0.25">
      <c r="A117" s="40" t="s">
        <v>370</v>
      </c>
      <c r="B117" s="93" t="s">
        <v>284</v>
      </c>
      <c r="C117" s="69">
        <v>505710</v>
      </c>
      <c r="D117" s="69"/>
      <c r="E117" s="94" t="str">
        <f t="shared" si="13"/>
        <v>00109160505710</v>
      </c>
      <c r="F117" s="42"/>
      <c r="G117" s="34">
        <f t="shared" si="9"/>
        <v>0</v>
      </c>
      <c r="H117" s="43"/>
      <c r="I117" s="34">
        <f t="shared" si="10"/>
        <v>0</v>
      </c>
      <c r="J117" s="43"/>
      <c r="K117" s="72">
        <v>0</v>
      </c>
      <c r="L117" s="43"/>
      <c r="M117" s="237">
        <v>0</v>
      </c>
      <c r="N117" s="44"/>
      <c r="O117" s="72">
        <f t="shared" si="11"/>
        <v>0</v>
      </c>
      <c r="Q117" s="72">
        <f t="shared" si="12"/>
        <v>0</v>
      </c>
      <c r="R117"/>
      <c r="S117"/>
      <c r="T117"/>
      <c r="U117"/>
    </row>
    <row r="118" spans="1:21" s="123" customFormat="1" ht="13.5" customHeight="1" x14ac:dyDescent="0.25">
      <c r="A118" s="40" t="s">
        <v>147</v>
      </c>
      <c r="B118" s="93" t="s">
        <v>284</v>
      </c>
      <c r="C118" s="69">
        <v>505750</v>
      </c>
      <c r="D118" s="69"/>
      <c r="E118" s="94" t="str">
        <f t="shared" si="13"/>
        <v>00109160505750</v>
      </c>
      <c r="F118" s="42"/>
      <c r="G118" s="34">
        <f t="shared" si="9"/>
        <v>12712</v>
      </c>
      <c r="H118" s="107"/>
      <c r="I118" s="34">
        <f t="shared" si="10"/>
        <v>99</v>
      </c>
      <c r="J118" s="107"/>
      <c r="K118" s="72">
        <v>0</v>
      </c>
      <c r="L118" s="107"/>
      <c r="M118" s="237">
        <v>0</v>
      </c>
      <c r="N118" s="44"/>
      <c r="O118" s="72">
        <f t="shared" si="11"/>
        <v>0</v>
      </c>
      <c r="Q118" s="72">
        <f t="shared" si="12"/>
        <v>0</v>
      </c>
      <c r="R118"/>
      <c r="S118"/>
      <c r="T118"/>
      <c r="U118"/>
    </row>
    <row r="119" spans="1:21" s="123" customFormat="1" ht="13.5" customHeight="1" x14ac:dyDescent="0.25">
      <c r="A119" s="60" t="s">
        <v>371</v>
      </c>
      <c r="B119" s="93" t="s">
        <v>284</v>
      </c>
      <c r="C119" s="69">
        <v>505750</v>
      </c>
      <c r="D119" s="69" t="s">
        <v>342</v>
      </c>
      <c r="E119" s="94" t="str">
        <f t="shared" si="13"/>
        <v>00109160505750LR030</v>
      </c>
      <c r="F119" s="42"/>
      <c r="G119" s="34">
        <f t="shared" si="9"/>
        <v>9583</v>
      </c>
      <c r="H119" s="107"/>
      <c r="I119" s="34">
        <f t="shared" si="10"/>
        <v>0</v>
      </c>
      <c r="J119" s="107"/>
      <c r="K119" s="72">
        <v>0</v>
      </c>
      <c r="L119" s="107"/>
      <c r="M119" s="237">
        <v>0</v>
      </c>
      <c r="N119" s="44"/>
      <c r="O119" s="72">
        <f t="shared" si="11"/>
        <v>0</v>
      </c>
      <c r="Q119" s="72">
        <f t="shared" si="12"/>
        <v>0</v>
      </c>
      <c r="R119"/>
      <c r="S119"/>
      <c r="T119"/>
      <c r="U119"/>
    </row>
    <row r="120" spans="1:21" s="123" customFormat="1" ht="13.5" customHeight="1" x14ac:dyDescent="0.25">
      <c r="A120" s="40" t="s">
        <v>74</v>
      </c>
      <c r="B120" s="93" t="s">
        <v>284</v>
      </c>
      <c r="C120" s="69">
        <v>505801</v>
      </c>
      <c r="D120" s="138"/>
      <c r="E120" s="94" t="str">
        <f t="shared" si="13"/>
        <v>00109160505801</v>
      </c>
      <c r="F120" s="42"/>
      <c r="G120" s="34">
        <f t="shared" si="9"/>
        <v>0</v>
      </c>
      <c r="H120" s="107"/>
      <c r="I120" s="34">
        <f>ROUND(IFERROR(VLOOKUP(_xlfn.CONCAT($B120,$C120,$D120),$A$134:$C$9994,2,FALSE),0),0)+2</f>
        <v>15956</v>
      </c>
      <c r="J120" s="107"/>
      <c r="K120" s="72">
        <v>0</v>
      </c>
      <c r="L120" s="107"/>
      <c r="M120" s="237">
        <v>0</v>
      </c>
      <c r="N120" s="44"/>
      <c r="O120" s="72">
        <f t="shared" si="11"/>
        <v>0</v>
      </c>
      <c r="Q120" s="72">
        <f t="shared" si="12"/>
        <v>0</v>
      </c>
      <c r="R120"/>
      <c r="S120"/>
      <c r="T120"/>
      <c r="U120"/>
    </row>
    <row r="121" spans="1:21" s="123" customFormat="1" ht="13.5" customHeight="1" x14ac:dyDescent="0.25">
      <c r="A121" s="60" t="s">
        <v>372</v>
      </c>
      <c r="B121" s="93" t="s">
        <v>284</v>
      </c>
      <c r="C121" s="138"/>
      <c r="D121" s="138"/>
      <c r="E121" s="94" t="str">
        <f t="shared" si="13"/>
        <v>00109160</v>
      </c>
      <c r="F121" s="42"/>
      <c r="G121" s="34">
        <f t="shared" si="9"/>
        <v>0</v>
      </c>
      <c r="H121" s="107"/>
      <c r="I121" s="34">
        <f>ROUND(IFERROR(VLOOKUP(_xlfn.CONCAT($B121,$C121,$D121),$A$134:$C$9994,2,FALSE),0),0)</f>
        <v>0</v>
      </c>
      <c r="J121" s="107"/>
      <c r="K121" s="72">
        <v>0</v>
      </c>
      <c r="L121" s="107"/>
      <c r="M121" s="237">
        <v>0</v>
      </c>
      <c r="N121" s="44"/>
      <c r="O121" s="72">
        <f>M121</f>
        <v>0</v>
      </c>
      <c r="Q121" s="72">
        <f>O121</f>
        <v>0</v>
      </c>
      <c r="R121"/>
      <c r="S121"/>
      <c r="T121"/>
      <c r="U121"/>
    </row>
    <row r="122" spans="1:21" s="123" customFormat="1" ht="13.5" customHeight="1" x14ac:dyDescent="0.25">
      <c r="A122" s="60" t="s">
        <v>373</v>
      </c>
      <c r="B122" s="93" t="s">
        <v>284</v>
      </c>
      <c r="C122" s="138"/>
      <c r="D122" s="138"/>
      <c r="E122" s="94" t="str">
        <f t="shared" si="13"/>
        <v>00109160</v>
      </c>
      <c r="F122" s="42"/>
      <c r="G122" s="34">
        <f t="shared" si="9"/>
        <v>0</v>
      </c>
      <c r="H122" s="107"/>
      <c r="I122" s="34">
        <f>ROUND(IFERROR(VLOOKUP(_xlfn.CONCAT($B122,$C122,$D122),$A$134:$C$9994,2,FALSE),0),0)</f>
        <v>0</v>
      </c>
      <c r="J122" s="107"/>
      <c r="K122" s="72">
        <v>0</v>
      </c>
      <c r="L122" s="107"/>
      <c r="M122" s="237">
        <v>0</v>
      </c>
      <c r="N122" s="44"/>
      <c r="O122" s="72">
        <f>M122</f>
        <v>0</v>
      </c>
      <c r="Q122" s="72">
        <f>O122</f>
        <v>0</v>
      </c>
      <c r="R122"/>
      <c r="S122"/>
      <c r="T122"/>
      <c r="U122"/>
    </row>
    <row r="123" spans="1:21" s="123" customFormat="1" ht="13.5" customHeight="1" x14ac:dyDescent="0.25">
      <c r="A123" s="60" t="s">
        <v>374</v>
      </c>
      <c r="B123" s="93" t="s">
        <v>284</v>
      </c>
      <c r="C123" s="138"/>
      <c r="D123" s="138"/>
      <c r="E123" s="94" t="str">
        <f t="shared" si="13"/>
        <v>00109160</v>
      </c>
      <c r="F123" s="42"/>
      <c r="G123" s="34">
        <f t="shared" si="9"/>
        <v>0</v>
      </c>
      <c r="H123" s="107"/>
      <c r="I123" s="34">
        <f>ROUND(IFERROR(VLOOKUP(_xlfn.CONCAT($B123,$C123,$D123),$A$134:$C$9994,2,FALSE),0),0)</f>
        <v>0</v>
      </c>
      <c r="J123" s="107"/>
      <c r="K123" s="72">
        <v>6000</v>
      </c>
      <c r="L123" s="107"/>
      <c r="M123" s="237">
        <v>6000</v>
      </c>
      <c r="N123" s="44"/>
      <c r="O123" s="72">
        <f>M123</f>
        <v>6000</v>
      </c>
      <c r="Q123" s="72">
        <f>O123</f>
        <v>6000</v>
      </c>
      <c r="R123"/>
      <c r="S123"/>
      <c r="T123"/>
      <c r="U123"/>
    </row>
    <row r="124" spans="1:21" s="123" customFormat="1" ht="13.5" customHeight="1" x14ac:dyDescent="0.25">
      <c r="A124" s="60" t="s">
        <v>375</v>
      </c>
      <c r="B124" s="93" t="s">
        <v>284</v>
      </c>
      <c r="C124" s="138"/>
      <c r="D124" s="138"/>
      <c r="E124" s="94" t="str">
        <f t="shared" si="13"/>
        <v>00109160</v>
      </c>
      <c r="F124" s="42"/>
      <c r="G124" s="34">
        <f t="shared" si="9"/>
        <v>0</v>
      </c>
      <c r="H124" s="107"/>
      <c r="I124" s="34">
        <f>ROUND(IFERROR(VLOOKUP(_xlfn.CONCAT($B124,$C124,$D124),$A$134:$C$9994,2,FALSE),0),0)</f>
        <v>0</v>
      </c>
      <c r="J124" s="107"/>
      <c r="K124" s="72">
        <v>700</v>
      </c>
      <c r="L124" s="107"/>
      <c r="M124" s="237">
        <v>700</v>
      </c>
      <c r="N124" s="44"/>
      <c r="O124" s="72">
        <f>M124</f>
        <v>700</v>
      </c>
      <c r="Q124" s="72">
        <f>O124</f>
        <v>700</v>
      </c>
      <c r="R124"/>
      <c r="S124"/>
      <c r="T124"/>
      <c r="U124"/>
    </row>
    <row r="125" spans="1:21" s="123" customFormat="1" ht="13.5" customHeight="1" x14ac:dyDescent="0.25">
      <c r="A125" s="60"/>
      <c r="B125" s="61"/>
      <c r="C125" s="138"/>
      <c r="D125" s="138"/>
      <c r="E125" s="139"/>
      <c r="F125" s="42"/>
      <c r="G125" s="72"/>
      <c r="H125" s="107"/>
      <c r="I125" s="72"/>
      <c r="J125" s="107"/>
      <c r="K125" s="72"/>
      <c r="L125" s="107"/>
      <c r="M125" s="72"/>
      <c r="N125" s="44"/>
      <c r="O125" s="72"/>
      <c r="Q125" s="72"/>
      <c r="R125"/>
      <c r="S125"/>
      <c r="T125"/>
      <c r="U125"/>
    </row>
    <row r="126" spans="1:21" s="123" customFormat="1" ht="24" customHeight="1" x14ac:dyDescent="0.25">
      <c r="A126" s="49" t="s">
        <v>75</v>
      </c>
      <c r="B126" s="50"/>
      <c r="C126" s="15"/>
      <c r="D126" s="15"/>
      <c r="E126" s="71"/>
      <c r="F126" s="42" t="s">
        <v>19</v>
      </c>
      <c r="G126" s="98">
        <f>SUM(G66:G125)</f>
        <v>839669</v>
      </c>
      <c r="H126" s="42" t="s">
        <v>19</v>
      </c>
      <c r="I126" s="98">
        <f>SUM(I66:I125)</f>
        <v>751350</v>
      </c>
      <c r="J126" s="42" t="s">
        <v>19</v>
      </c>
      <c r="K126" s="98">
        <f>SUM(K66:K125)</f>
        <v>1164100</v>
      </c>
      <c r="L126" s="42" t="s">
        <v>19</v>
      </c>
      <c r="M126" s="98">
        <f>SUM(M66:M125)</f>
        <v>1164100</v>
      </c>
      <c r="N126" s="96" t="s">
        <v>320</v>
      </c>
      <c r="O126" s="98">
        <f>SUM(O66:O125)</f>
        <v>1164100</v>
      </c>
      <c r="P126" s="67" t="s">
        <v>19</v>
      </c>
      <c r="Q126" s="98">
        <f>SUM(Q66:Q125)</f>
        <v>1164100</v>
      </c>
      <c r="R126"/>
      <c r="S126"/>
      <c r="T126"/>
      <c r="U126"/>
    </row>
    <row r="127" spans="1:21" ht="24" customHeight="1" thickBot="1" x14ac:dyDescent="0.3">
      <c r="A127" s="99" t="s">
        <v>76</v>
      </c>
      <c r="F127" s="42" t="s">
        <v>19</v>
      </c>
      <c r="G127" s="109">
        <f>+G126+G43</f>
        <v>3182120</v>
      </c>
      <c r="H127" s="42" t="s">
        <v>19</v>
      </c>
      <c r="I127" s="109">
        <f>+I126+I43</f>
        <v>2958323</v>
      </c>
      <c r="J127" s="42" t="s">
        <v>19</v>
      </c>
      <c r="K127" s="109">
        <f>+K126+K43</f>
        <v>3379771</v>
      </c>
      <c r="L127" s="42" t="s">
        <v>19</v>
      </c>
      <c r="M127" s="109">
        <f>+M126+M43</f>
        <v>3379771</v>
      </c>
      <c r="N127" s="67" t="s">
        <v>320</v>
      </c>
      <c r="O127" s="109">
        <f>+O126+O43</f>
        <v>3379771</v>
      </c>
      <c r="P127" s="67" t="s">
        <v>19</v>
      </c>
      <c r="Q127" s="109">
        <f>+Q126+Q43</f>
        <v>3379771</v>
      </c>
    </row>
    <row r="128" spans="1:21" ht="15.75" thickTop="1" x14ac:dyDescent="0.25">
      <c r="G128" s="72"/>
      <c r="I128" s="72"/>
      <c r="K128" s="72"/>
      <c r="M128" s="72"/>
      <c r="O128" s="72"/>
      <c r="Q128" s="72"/>
    </row>
    <row r="129" spans="1:17" hidden="1" x14ac:dyDescent="0.25">
      <c r="A129" s="28" t="s">
        <v>77</v>
      </c>
      <c r="G129" s="76">
        <v>3182120</v>
      </c>
      <c r="I129" s="76">
        <v>2958323</v>
      </c>
      <c r="K129" s="72"/>
      <c r="M129" s="72"/>
      <c r="O129" s="72"/>
      <c r="Q129" s="72"/>
    </row>
    <row r="130" spans="1:17" hidden="1" x14ac:dyDescent="0.25">
      <c r="A130" s="28" t="s">
        <v>78</v>
      </c>
      <c r="G130" s="44">
        <f>G127-G129</f>
        <v>0</v>
      </c>
      <c r="H130" s="43"/>
      <c r="I130" s="44">
        <f>I127-I129</f>
        <v>0</v>
      </c>
      <c r="K130" s="72"/>
      <c r="M130" s="72"/>
      <c r="O130" s="72"/>
      <c r="Q130" s="72"/>
    </row>
    <row r="131" spans="1:17" hidden="1" x14ac:dyDescent="0.25">
      <c r="G131" s="72"/>
      <c r="I131" s="72"/>
      <c r="K131" s="72"/>
      <c r="M131" s="72"/>
      <c r="O131" s="72"/>
      <c r="Q131" s="72"/>
    </row>
    <row r="132" spans="1:17" hidden="1" x14ac:dyDescent="0.25">
      <c r="G132" s="72"/>
      <c r="I132" s="72"/>
      <c r="K132" s="72"/>
      <c r="M132" s="72"/>
      <c r="O132" s="72"/>
      <c r="Q132" s="72"/>
    </row>
    <row r="133" spans="1:17" hidden="1" x14ac:dyDescent="0.25">
      <c r="B133" s="29" t="s">
        <v>79</v>
      </c>
      <c r="C133" s="15" t="s">
        <v>80</v>
      </c>
      <c r="G133" s="77" t="s">
        <v>81</v>
      </c>
      <c r="K133" s="44"/>
      <c r="M133" s="44"/>
      <c r="O133" s="44"/>
      <c r="Q133" s="44"/>
    </row>
    <row r="134" spans="1:17" hidden="1" x14ac:dyDescent="0.25">
      <c r="A134" s="29" t="s">
        <v>376</v>
      </c>
      <c r="B134" s="29">
        <v>777929.93</v>
      </c>
      <c r="C134" s="15">
        <v>726080.75</v>
      </c>
      <c r="G134" s="15" t="str">
        <f t="shared" ref="G134:G197" si="14">VLOOKUP(A134,E:E,1,FALSE)</f>
        <v>00109160501201</v>
      </c>
      <c r="I134" s="15"/>
      <c r="O134" s="15"/>
    </row>
    <row r="135" spans="1:17" hidden="1" x14ac:dyDescent="0.25">
      <c r="A135" s="29" t="s">
        <v>377</v>
      </c>
      <c r="B135" s="29">
        <v>0</v>
      </c>
      <c r="C135" s="15">
        <v>0</v>
      </c>
      <c r="G135" s="15" t="str">
        <f t="shared" si="14"/>
        <v>00109160501290</v>
      </c>
      <c r="I135" s="15"/>
      <c r="O135" s="15"/>
    </row>
    <row r="136" spans="1:17" hidden="1" x14ac:dyDescent="0.25">
      <c r="A136" s="29" t="s">
        <v>378</v>
      </c>
      <c r="B136" s="29">
        <v>149587.22</v>
      </c>
      <c r="C136" s="15">
        <v>871410.24</v>
      </c>
      <c r="G136" s="15" t="str">
        <f t="shared" si="14"/>
        <v>00109160501305</v>
      </c>
      <c r="I136" s="86"/>
      <c r="K136" s="86"/>
      <c r="M136" s="86"/>
      <c r="Q136" s="86"/>
    </row>
    <row r="137" spans="1:17" hidden="1" x14ac:dyDescent="0.25">
      <c r="A137" s="29" t="s">
        <v>379</v>
      </c>
      <c r="B137" s="29">
        <v>213635.81</v>
      </c>
      <c r="C137" s="15">
        <v>0</v>
      </c>
      <c r="G137" s="15" t="str">
        <f t="shared" si="14"/>
        <v>00109160501305ABAIN</v>
      </c>
      <c r="I137" s="86"/>
      <c r="K137" s="86"/>
      <c r="M137" s="86"/>
      <c r="Q137" s="86"/>
    </row>
    <row r="138" spans="1:17" hidden="1" x14ac:dyDescent="0.25">
      <c r="A138" s="29" t="s">
        <v>380</v>
      </c>
      <c r="B138" s="29">
        <v>14610</v>
      </c>
      <c r="C138" s="15">
        <v>0</v>
      </c>
      <c r="G138" s="15" t="str">
        <f t="shared" si="14"/>
        <v>00109160501305ABLIN</v>
      </c>
      <c r="I138" s="86"/>
      <c r="K138" s="86"/>
      <c r="M138" s="86"/>
      <c r="Q138" s="86"/>
    </row>
    <row r="139" spans="1:17" hidden="1" x14ac:dyDescent="0.25">
      <c r="A139" s="29" t="s">
        <v>381</v>
      </c>
      <c r="B139" s="29">
        <v>53685.42</v>
      </c>
      <c r="C139" s="15">
        <v>0</v>
      </c>
      <c r="G139" s="15" t="str">
        <f t="shared" si="14"/>
        <v>00109160501305AFAIN</v>
      </c>
      <c r="I139" s="86"/>
      <c r="K139" s="86"/>
      <c r="M139" s="86"/>
      <c r="Q139" s="86"/>
    </row>
    <row r="140" spans="1:17" hidden="1" x14ac:dyDescent="0.25">
      <c r="A140" s="29" t="s">
        <v>382</v>
      </c>
      <c r="B140" s="29">
        <v>8133.75</v>
      </c>
      <c r="C140" s="15">
        <v>0</v>
      </c>
      <c r="G140" s="15" t="str">
        <f t="shared" si="14"/>
        <v>00109160501305BUSDR</v>
      </c>
      <c r="I140" s="86"/>
      <c r="K140" s="86"/>
      <c r="M140" s="86"/>
      <c r="Q140" s="86"/>
    </row>
    <row r="141" spans="1:17" hidden="1" x14ac:dyDescent="0.25">
      <c r="A141" s="29" t="s">
        <v>383</v>
      </c>
      <c r="B141" s="29">
        <v>76189.960000000006</v>
      </c>
      <c r="C141" s="15">
        <v>0</v>
      </c>
      <c r="G141" s="15" t="str">
        <f t="shared" si="14"/>
        <v>00109160501305EXERC</v>
      </c>
      <c r="I141" s="86"/>
      <c r="K141" s="86"/>
      <c r="M141" s="86"/>
      <c r="Q141" s="86"/>
    </row>
    <row r="142" spans="1:17" hidden="1" x14ac:dyDescent="0.25">
      <c r="A142" s="29" t="s">
        <v>384</v>
      </c>
      <c r="B142" s="29">
        <v>111330.3</v>
      </c>
      <c r="C142" s="15">
        <v>0</v>
      </c>
      <c r="G142" s="15" t="str">
        <f t="shared" si="14"/>
        <v>00109160501305PLAYA</v>
      </c>
      <c r="I142" s="15"/>
      <c r="O142" s="15"/>
    </row>
    <row r="143" spans="1:17" hidden="1" x14ac:dyDescent="0.25">
      <c r="A143" s="29" t="s">
        <v>385</v>
      </c>
      <c r="B143" s="29">
        <v>29849.5</v>
      </c>
      <c r="C143" s="15">
        <v>0</v>
      </c>
      <c r="G143" s="15" t="str">
        <f t="shared" si="14"/>
        <v>00109160501305PLAYL</v>
      </c>
      <c r="I143" s="15"/>
      <c r="O143" s="15"/>
    </row>
    <row r="144" spans="1:17" hidden="1" x14ac:dyDescent="0.25">
      <c r="A144" s="29" t="s">
        <v>386</v>
      </c>
      <c r="B144" s="29">
        <v>35398.300000000003</v>
      </c>
      <c r="C144" s="15">
        <v>0</v>
      </c>
      <c r="G144" s="15" t="str">
        <f t="shared" si="14"/>
        <v>00109160501305RECW</v>
      </c>
      <c r="I144" s="15"/>
      <c r="O144" s="15"/>
    </row>
    <row r="145" spans="1:15" hidden="1" x14ac:dyDescent="0.25">
      <c r="A145" s="29" t="s">
        <v>387</v>
      </c>
      <c r="B145" s="29">
        <v>10350</v>
      </c>
      <c r="C145" s="15">
        <v>0</v>
      </c>
      <c r="G145" s="15" t="str">
        <f t="shared" si="14"/>
        <v>00109160501305TEENA</v>
      </c>
      <c r="I145" s="15"/>
      <c r="O145" s="15"/>
    </row>
    <row r="146" spans="1:15" hidden="1" x14ac:dyDescent="0.25">
      <c r="A146" s="29" t="s">
        <v>388</v>
      </c>
      <c r="B146" s="29">
        <v>13306</v>
      </c>
      <c r="C146" s="15">
        <v>0</v>
      </c>
      <c r="G146" s="15" t="str">
        <f t="shared" si="14"/>
        <v>00109160501305TEENL</v>
      </c>
      <c r="I146" s="15"/>
      <c r="O146" s="15"/>
    </row>
    <row r="147" spans="1:15" hidden="1" x14ac:dyDescent="0.25">
      <c r="A147" s="29" t="s">
        <v>389</v>
      </c>
      <c r="B147" s="29">
        <v>24485.17</v>
      </c>
      <c r="C147" s="15">
        <v>244063.18</v>
      </c>
      <c r="G147" s="15" t="e">
        <f t="shared" si="14"/>
        <v>#N/A</v>
      </c>
      <c r="O147" s="15"/>
    </row>
    <row r="148" spans="1:15" hidden="1" x14ac:dyDescent="0.25">
      <c r="A148" s="29" t="s">
        <v>390</v>
      </c>
      <c r="B148" s="29">
        <v>197229.36</v>
      </c>
      <c r="C148" s="15">
        <v>0</v>
      </c>
      <c r="G148" s="15" t="str">
        <f t="shared" si="14"/>
        <v>00109160501312LIFEG</v>
      </c>
      <c r="O148" s="15"/>
    </row>
    <row r="149" spans="1:15" hidden="1" x14ac:dyDescent="0.25">
      <c r="A149" s="29" t="s">
        <v>391</v>
      </c>
      <c r="B149" s="29">
        <v>0</v>
      </c>
      <c r="C149" s="15">
        <v>0</v>
      </c>
      <c r="G149" s="15" t="str">
        <f t="shared" si="14"/>
        <v>00109160501313</v>
      </c>
      <c r="O149" s="15"/>
    </row>
    <row r="150" spans="1:15" hidden="1" x14ac:dyDescent="0.25">
      <c r="A150" s="29" t="s">
        <v>392</v>
      </c>
      <c r="B150" s="29">
        <v>29537.35</v>
      </c>
      <c r="C150" s="15">
        <v>114215.75</v>
      </c>
      <c r="G150" s="15" t="e">
        <f t="shared" si="14"/>
        <v>#N/A</v>
      </c>
      <c r="O150" s="15"/>
    </row>
    <row r="151" spans="1:15" hidden="1" x14ac:dyDescent="0.25">
      <c r="A151" s="29" t="s">
        <v>393</v>
      </c>
      <c r="B151" s="29">
        <v>18000</v>
      </c>
      <c r="C151" s="15">
        <v>0</v>
      </c>
      <c r="G151" s="15" t="str">
        <f t="shared" si="14"/>
        <v>00109160501314BRUTH</v>
      </c>
      <c r="O151" s="15"/>
    </row>
    <row r="152" spans="1:15" hidden="1" x14ac:dyDescent="0.25">
      <c r="A152" s="29" t="s">
        <v>394</v>
      </c>
      <c r="B152" s="29">
        <v>61978.94</v>
      </c>
      <c r="C152" s="15">
        <v>0</v>
      </c>
      <c r="G152" s="15" t="str">
        <f t="shared" si="14"/>
        <v>00109160501314TRVLB</v>
      </c>
      <c r="O152" s="15"/>
    </row>
    <row r="153" spans="1:15" hidden="1" x14ac:dyDescent="0.25">
      <c r="A153" s="29" t="s">
        <v>395</v>
      </c>
      <c r="B153" s="29">
        <v>12828.33</v>
      </c>
      <c r="C153" s="15">
        <v>8147.84</v>
      </c>
      <c r="G153" s="15" t="str">
        <f t="shared" si="14"/>
        <v>00109160501400</v>
      </c>
      <c r="O153" s="15"/>
    </row>
    <row r="154" spans="1:15" hidden="1" x14ac:dyDescent="0.25">
      <c r="A154" s="29" t="s">
        <v>396</v>
      </c>
      <c r="B154" s="29">
        <v>360.18</v>
      </c>
      <c r="C154" s="15">
        <v>0</v>
      </c>
      <c r="G154" s="15" t="str">
        <f t="shared" si="14"/>
        <v>00109160501400PLAYA</v>
      </c>
      <c r="O154" s="15"/>
    </row>
    <row r="155" spans="1:15" hidden="1" x14ac:dyDescent="0.25">
      <c r="A155" s="29" t="s">
        <v>397</v>
      </c>
      <c r="B155" s="29">
        <v>0</v>
      </c>
      <c r="C155" s="15">
        <v>0</v>
      </c>
      <c r="G155" s="15" t="e">
        <f t="shared" si="14"/>
        <v>#N/A</v>
      </c>
      <c r="O155" s="15"/>
    </row>
    <row r="156" spans="1:15" hidden="1" x14ac:dyDescent="0.25">
      <c r="A156" s="29" t="s">
        <v>398</v>
      </c>
      <c r="B156" s="29">
        <v>0</v>
      </c>
      <c r="C156" s="15">
        <v>0</v>
      </c>
      <c r="G156" s="15" t="str">
        <f t="shared" si="14"/>
        <v>00109160501401</v>
      </c>
      <c r="O156" s="15"/>
    </row>
    <row r="157" spans="1:15" hidden="1" x14ac:dyDescent="0.25">
      <c r="A157" s="29" t="s">
        <v>399</v>
      </c>
      <c r="B157" s="29">
        <v>1755.35</v>
      </c>
      <c r="C157" s="15">
        <v>5454.48</v>
      </c>
      <c r="G157" s="15" t="str">
        <f t="shared" si="14"/>
        <v>00109160501600</v>
      </c>
      <c r="O157" s="15"/>
    </row>
    <row r="158" spans="1:15" hidden="1" x14ac:dyDescent="0.25">
      <c r="A158" s="29" t="s">
        <v>400</v>
      </c>
      <c r="B158" s="29">
        <v>0</v>
      </c>
      <c r="C158" s="15">
        <v>0</v>
      </c>
      <c r="G158" s="15" t="str">
        <f t="shared" si="14"/>
        <v>00109160501701</v>
      </c>
      <c r="O158" s="15"/>
    </row>
    <row r="159" spans="1:15" hidden="1" x14ac:dyDescent="0.25">
      <c r="A159" s="29" t="s">
        <v>401</v>
      </c>
      <c r="B159" s="29">
        <v>4981.09</v>
      </c>
      <c r="C159" s="15">
        <v>4400.09</v>
      </c>
      <c r="G159" s="15" t="str">
        <f t="shared" si="14"/>
        <v>00109160501702</v>
      </c>
      <c r="O159" s="15"/>
    </row>
    <row r="160" spans="1:15" hidden="1" x14ac:dyDescent="0.25">
      <c r="A160" s="29" t="s">
        <v>402</v>
      </c>
      <c r="B160" s="29">
        <v>0</v>
      </c>
      <c r="C160" s="15">
        <v>0</v>
      </c>
      <c r="G160" s="15" t="str">
        <f t="shared" si="14"/>
        <v>00109160501800</v>
      </c>
      <c r="O160" s="15"/>
    </row>
    <row r="161" spans="1:15" hidden="1" x14ac:dyDescent="0.25">
      <c r="A161" s="29" t="s">
        <v>403</v>
      </c>
      <c r="B161" s="29">
        <v>0</v>
      </c>
      <c r="C161" s="15">
        <v>0</v>
      </c>
      <c r="G161" s="15" t="str">
        <f t="shared" si="14"/>
        <v>001091605019006.01N</v>
      </c>
      <c r="O161" s="15"/>
    </row>
    <row r="162" spans="1:15" hidden="1" x14ac:dyDescent="0.25">
      <c r="A162" s="29" t="s">
        <v>404</v>
      </c>
      <c r="B162" s="29">
        <v>0</v>
      </c>
      <c r="C162" s="15">
        <v>0</v>
      </c>
      <c r="G162" s="15" t="str">
        <f t="shared" si="14"/>
        <v>001091605019006.01O</v>
      </c>
      <c r="O162" s="15"/>
    </row>
    <row r="163" spans="1:15" hidden="1" x14ac:dyDescent="0.25">
      <c r="A163" s="29" t="s">
        <v>405</v>
      </c>
      <c r="B163" s="29">
        <v>75630.8</v>
      </c>
      <c r="C163" s="15">
        <v>150086.22</v>
      </c>
      <c r="G163" s="15" t="str">
        <f t="shared" si="14"/>
        <v>00109160502100</v>
      </c>
      <c r="O163" s="15"/>
    </row>
    <row r="164" spans="1:15" hidden="1" x14ac:dyDescent="0.25">
      <c r="A164" s="29" t="s">
        <v>406</v>
      </c>
      <c r="B164" s="29">
        <v>16343.42</v>
      </c>
      <c r="C164" s="15">
        <v>0</v>
      </c>
      <c r="G164" s="15" t="e">
        <f t="shared" si="14"/>
        <v>#N/A</v>
      </c>
      <c r="O164" s="15"/>
    </row>
    <row r="165" spans="1:15" hidden="1" x14ac:dyDescent="0.25">
      <c r="A165" s="29" t="s">
        <v>407</v>
      </c>
      <c r="B165" s="29">
        <v>1117.73</v>
      </c>
      <c r="C165" s="15">
        <v>0</v>
      </c>
      <c r="G165" s="15" t="e">
        <f t="shared" si="14"/>
        <v>#N/A</v>
      </c>
      <c r="O165" s="15"/>
    </row>
    <row r="166" spans="1:15" hidden="1" x14ac:dyDescent="0.25">
      <c r="A166" s="29" t="s">
        <v>408</v>
      </c>
      <c r="B166" s="29">
        <v>4054.45</v>
      </c>
      <c r="C166" s="15">
        <v>0</v>
      </c>
      <c r="G166" s="15" t="e">
        <f t="shared" si="14"/>
        <v>#N/A</v>
      </c>
      <c r="O166" s="15"/>
    </row>
    <row r="167" spans="1:15" hidden="1" x14ac:dyDescent="0.25">
      <c r="A167" s="29" t="s">
        <v>409</v>
      </c>
      <c r="B167" s="29">
        <v>1377.03</v>
      </c>
      <c r="C167" s="15">
        <v>0</v>
      </c>
      <c r="G167" s="15" t="e">
        <f t="shared" si="14"/>
        <v>#N/A</v>
      </c>
      <c r="O167" s="15"/>
    </row>
    <row r="168" spans="1:15" hidden="1" x14ac:dyDescent="0.25">
      <c r="A168" s="29" t="s">
        <v>410</v>
      </c>
      <c r="B168" s="29">
        <v>622.28</v>
      </c>
      <c r="C168" s="15">
        <v>0</v>
      </c>
      <c r="G168" s="15" t="e">
        <f t="shared" si="14"/>
        <v>#N/A</v>
      </c>
      <c r="O168" s="15"/>
    </row>
    <row r="169" spans="1:15" hidden="1" x14ac:dyDescent="0.25">
      <c r="A169" s="29" t="s">
        <v>411</v>
      </c>
      <c r="B169" s="29">
        <v>0</v>
      </c>
      <c r="C169" s="15">
        <v>0</v>
      </c>
      <c r="G169" s="15" t="e">
        <f t="shared" si="14"/>
        <v>#N/A</v>
      </c>
      <c r="O169" s="15"/>
    </row>
    <row r="170" spans="1:15" hidden="1" x14ac:dyDescent="0.25">
      <c r="A170" s="29" t="s">
        <v>412</v>
      </c>
      <c r="B170" s="29">
        <v>5828.8</v>
      </c>
      <c r="C170" s="15">
        <v>0</v>
      </c>
      <c r="G170" s="15" t="e">
        <f t="shared" si="14"/>
        <v>#N/A</v>
      </c>
      <c r="O170" s="15"/>
    </row>
    <row r="171" spans="1:15" hidden="1" x14ac:dyDescent="0.25">
      <c r="A171" s="29" t="s">
        <v>413</v>
      </c>
      <c r="B171" s="29">
        <v>15088.53</v>
      </c>
      <c r="C171" s="15">
        <v>0</v>
      </c>
      <c r="G171" s="15" t="e">
        <f t="shared" si="14"/>
        <v>#N/A</v>
      </c>
      <c r="O171" s="15"/>
    </row>
    <row r="172" spans="1:15" hidden="1" x14ac:dyDescent="0.25">
      <c r="A172" s="29" t="s">
        <v>414</v>
      </c>
      <c r="B172" s="29">
        <v>8544.57</v>
      </c>
      <c r="C172" s="15">
        <v>0</v>
      </c>
      <c r="G172" s="15" t="e">
        <f t="shared" si="14"/>
        <v>#N/A</v>
      </c>
      <c r="O172" s="15"/>
    </row>
    <row r="173" spans="1:15" hidden="1" x14ac:dyDescent="0.25">
      <c r="A173" s="29" t="s">
        <v>415</v>
      </c>
      <c r="B173" s="29">
        <v>2283.48</v>
      </c>
      <c r="C173" s="15">
        <v>0</v>
      </c>
      <c r="G173" s="15" t="e">
        <f t="shared" si="14"/>
        <v>#N/A</v>
      </c>
      <c r="O173" s="15"/>
    </row>
    <row r="174" spans="1:15" hidden="1" x14ac:dyDescent="0.25">
      <c r="A174" s="29" t="s">
        <v>416</v>
      </c>
      <c r="B174" s="29">
        <v>2699.03</v>
      </c>
      <c r="C174" s="15">
        <v>0</v>
      </c>
      <c r="G174" s="15" t="e">
        <f t="shared" si="14"/>
        <v>#N/A</v>
      </c>
      <c r="O174" s="15"/>
    </row>
    <row r="175" spans="1:15" hidden="1" x14ac:dyDescent="0.25">
      <c r="A175" s="29" t="s">
        <v>417</v>
      </c>
      <c r="B175" s="29">
        <v>791.8</v>
      </c>
      <c r="C175" s="15">
        <v>0</v>
      </c>
      <c r="G175" s="15" t="e">
        <f t="shared" si="14"/>
        <v>#N/A</v>
      </c>
      <c r="O175" s="15"/>
    </row>
    <row r="176" spans="1:15" hidden="1" x14ac:dyDescent="0.25">
      <c r="A176" s="29" t="s">
        <v>418</v>
      </c>
      <c r="B176" s="29">
        <v>1017.91</v>
      </c>
      <c r="C176" s="15">
        <v>0</v>
      </c>
      <c r="G176" s="15" t="e">
        <f t="shared" si="14"/>
        <v>#N/A</v>
      </c>
      <c r="O176" s="15"/>
    </row>
    <row r="177" spans="1:15" hidden="1" x14ac:dyDescent="0.25">
      <c r="A177" s="29" t="s">
        <v>419</v>
      </c>
      <c r="B177" s="29">
        <v>4741.05</v>
      </c>
      <c r="C177" s="15">
        <v>0</v>
      </c>
      <c r="G177" s="15" t="e">
        <f t="shared" si="14"/>
        <v>#N/A</v>
      </c>
      <c r="O177" s="15"/>
    </row>
    <row r="178" spans="1:15" hidden="1" x14ac:dyDescent="0.25">
      <c r="A178" s="29" t="s">
        <v>420</v>
      </c>
      <c r="B178" s="29">
        <v>75814.039999999994</v>
      </c>
      <c r="C178" s="15">
        <v>79845.94</v>
      </c>
      <c r="G178" s="15" t="str">
        <f t="shared" si="14"/>
        <v>00109160502200</v>
      </c>
      <c r="O178" s="15"/>
    </row>
    <row r="179" spans="1:15" hidden="1" x14ac:dyDescent="0.25">
      <c r="A179" s="29" t="s">
        <v>421</v>
      </c>
      <c r="B179" s="29">
        <v>144290.06</v>
      </c>
      <c r="C179" s="15">
        <v>137339.1</v>
      </c>
      <c r="G179" s="15" t="str">
        <f t="shared" si="14"/>
        <v>00109160502300</v>
      </c>
      <c r="O179" s="15"/>
    </row>
    <row r="180" spans="1:15" hidden="1" x14ac:dyDescent="0.25">
      <c r="A180" s="29" t="s">
        <v>422</v>
      </c>
      <c r="B180" s="29">
        <v>1567.63</v>
      </c>
      <c r="C180" s="15">
        <v>1408.05</v>
      </c>
      <c r="G180" s="15" t="str">
        <f t="shared" si="14"/>
        <v>00109160502400</v>
      </c>
    </row>
    <row r="181" spans="1:15" hidden="1" x14ac:dyDescent="0.25">
      <c r="A181" s="29" t="s">
        <v>423</v>
      </c>
      <c r="B181" s="29">
        <v>0</v>
      </c>
      <c r="C181" s="15">
        <v>0</v>
      </c>
      <c r="G181" s="15" t="str">
        <f t="shared" si="14"/>
        <v>00109160503401</v>
      </c>
    </row>
    <row r="182" spans="1:15" hidden="1" x14ac:dyDescent="0.25">
      <c r="A182" s="29" t="s">
        <v>424</v>
      </c>
      <c r="B182" s="29">
        <v>0</v>
      </c>
      <c r="C182" s="15">
        <v>0</v>
      </c>
      <c r="G182" s="15" t="str">
        <f t="shared" si="14"/>
        <v>00109160503403</v>
      </c>
    </row>
    <row r="183" spans="1:15" hidden="1" x14ac:dyDescent="0.25">
      <c r="A183" s="29" t="s">
        <v>425</v>
      </c>
      <c r="B183" s="29">
        <v>0</v>
      </c>
      <c r="C183" s="15">
        <v>0</v>
      </c>
      <c r="G183" s="15" t="e">
        <f t="shared" si="14"/>
        <v>#N/A</v>
      </c>
    </row>
    <row r="184" spans="1:15" hidden="1" x14ac:dyDescent="0.25">
      <c r="A184" s="29" t="s">
        <v>426</v>
      </c>
      <c r="B184" s="29">
        <v>0</v>
      </c>
      <c r="C184" s="15">
        <v>0</v>
      </c>
      <c r="G184" s="15" t="e">
        <f t="shared" si="14"/>
        <v>#N/A</v>
      </c>
    </row>
    <row r="185" spans="1:15" hidden="1" x14ac:dyDescent="0.25">
      <c r="A185" s="29" t="s">
        <v>427</v>
      </c>
      <c r="B185" s="29">
        <v>19881.009999999998</v>
      </c>
      <c r="C185" s="15">
        <v>19773.419999999998</v>
      </c>
      <c r="G185" s="15" t="str">
        <f t="shared" si="14"/>
        <v>00109160503415</v>
      </c>
    </row>
    <row r="186" spans="1:15" hidden="1" x14ac:dyDescent="0.25">
      <c r="A186" s="29" t="s">
        <v>428</v>
      </c>
      <c r="B186" s="29">
        <v>0</v>
      </c>
      <c r="C186" s="15">
        <v>0</v>
      </c>
      <c r="G186" s="15" t="str">
        <f t="shared" si="14"/>
        <v>00109160503450</v>
      </c>
    </row>
    <row r="187" spans="1:15" hidden="1" x14ac:dyDescent="0.25">
      <c r="A187" s="29" t="s">
        <v>429</v>
      </c>
      <c r="B187" s="29">
        <v>0</v>
      </c>
      <c r="C187" s="15">
        <v>0</v>
      </c>
      <c r="G187" s="15" t="e">
        <f t="shared" si="14"/>
        <v>#N/A</v>
      </c>
    </row>
    <row r="188" spans="1:15" hidden="1" x14ac:dyDescent="0.25">
      <c r="A188" s="29" t="s">
        <v>430</v>
      </c>
      <c r="B188" s="29">
        <v>0</v>
      </c>
      <c r="C188" s="15">
        <v>0</v>
      </c>
      <c r="G188" s="15" t="e">
        <f t="shared" si="14"/>
        <v>#N/A</v>
      </c>
    </row>
    <row r="189" spans="1:15" hidden="1" x14ac:dyDescent="0.25">
      <c r="A189" s="29" t="s">
        <v>431</v>
      </c>
      <c r="B189" s="29">
        <v>0</v>
      </c>
      <c r="C189" s="15">
        <v>0</v>
      </c>
      <c r="G189" s="15" t="str">
        <f t="shared" si="14"/>
        <v>00109160503457</v>
      </c>
    </row>
    <row r="190" spans="1:15" hidden="1" x14ac:dyDescent="0.25">
      <c r="A190" s="29" t="s">
        <v>432</v>
      </c>
      <c r="B190" s="29">
        <v>0</v>
      </c>
      <c r="C190" s="15">
        <v>0</v>
      </c>
      <c r="G190" s="15" t="e">
        <f t="shared" si="14"/>
        <v>#N/A</v>
      </c>
    </row>
    <row r="191" spans="1:15" hidden="1" x14ac:dyDescent="0.25">
      <c r="A191" s="29" t="s">
        <v>433</v>
      </c>
      <c r="B191" s="29">
        <v>570.35</v>
      </c>
      <c r="C191" s="15">
        <v>0</v>
      </c>
      <c r="G191" s="15" t="str">
        <f t="shared" si="14"/>
        <v>00109160503901</v>
      </c>
    </row>
    <row r="192" spans="1:15" hidden="1" x14ac:dyDescent="0.25">
      <c r="A192" s="29" t="s">
        <v>434</v>
      </c>
      <c r="B192" s="29">
        <v>0</v>
      </c>
      <c r="C192" s="15">
        <v>0</v>
      </c>
      <c r="G192" s="15" t="e">
        <f t="shared" si="14"/>
        <v>#N/A</v>
      </c>
    </row>
    <row r="193" spans="1:7" hidden="1" x14ac:dyDescent="0.25">
      <c r="A193" s="29" t="s">
        <v>435</v>
      </c>
      <c r="B193" s="29">
        <v>0</v>
      </c>
      <c r="C193" s="15">
        <v>0</v>
      </c>
      <c r="G193" s="15" t="e">
        <f t="shared" si="14"/>
        <v>#N/A</v>
      </c>
    </row>
    <row r="194" spans="1:7" hidden="1" x14ac:dyDescent="0.25">
      <c r="A194" s="29" t="s">
        <v>436</v>
      </c>
      <c r="B194" s="29">
        <v>4895.3500000000004</v>
      </c>
      <c r="C194" s="15">
        <v>6291.53</v>
      </c>
      <c r="G194" s="15" t="str">
        <f t="shared" si="14"/>
        <v>00109160504060</v>
      </c>
    </row>
    <row r="195" spans="1:7" hidden="1" x14ac:dyDescent="0.25">
      <c r="A195" s="29" t="s">
        <v>437</v>
      </c>
      <c r="B195" s="29">
        <v>303</v>
      </c>
      <c r="C195" s="15">
        <v>0</v>
      </c>
      <c r="G195" s="15" t="str">
        <f t="shared" si="14"/>
        <v>00109160504070</v>
      </c>
    </row>
    <row r="196" spans="1:7" hidden="1" x14ac:dyDescent="0.25">
      <c r="A196" s="29" t="s">
        <v>438</v>
      </c>
      <c r="B196" s="29">
        <v>4317.0200000000004</v>
      </c>
      <c r="C196" s="15">
        <v>24511.23</v>
      </c>
      <c r="G196" s="15" t="str">
        <f t="shared" si="14"/>
        <v>00109160504070LR030</v>
      </c>
    </row>
    <row r="197" spans="1:7" hidden="1" x14ac:dyDescent="0.25">
      <c r="A197" s="29" t="s">
        <v>439</v>
      </c>
      <c r="B197" s="29">
        <v>0</v>
      </c>
      <c r="C197" s="15">
        <v>3696.02</v>
      </c>
      <c r="G197" s="15" t="str">
        <f t="shared" si="14"/>
        <v>00109160504070LR035</v>
      </c>
    </row>
    <row r="198" spans="1:7" hidden="1" x14ac:dyDescent="0.25">
      <c r="A198" s="29" t="s">
        <v>440</v>
      </c>
      <c r="B198" s="29">
        <v>0</v>
      </c>
      <c r="C198" s="15">
        <v>0</v>
      </c>
      <c r="G198" s="15" t="str">
        <f t="shared" ref="G198:G245" si="15">VLOOKUP(A198,E:E,1,FALSE)</f>
        <v>00109160504201</v>
      </c>
    </row>
    <row r="199" spans="1:7" hidden="1" x14ac:dyDescent="0.25">
      <c r="A199" s="29" t="s">
        <v>441</v>
      </c>
      <c r="B199" s="29">
        <v>0</v>
      </c>
      <c r="C199" s="15">
        <v>0</v>
      </c>
      <c r="G199" s="15" t="str">
        <f t="shared" si="15"/>
        <v>00109160504410</v>
      </c>
    </row>
    <row r="200" spans="1:7" hidden="1" x14ac:dyDescent="0.25">
      <c r="A200" s="29" t="s">
        <v>442</v>
      </c>
      <c r="B200" s="29">
        <v>2165</v>
      </c>
      <c r="C200" s="15">
        <v>0</v>
      </c>
      <c r="G200" s="15" t="str">
        <f t="shared" si="15"/>
        <v>00109160504430</v>
      </c>
    </row>
    <row r="201" spans="1:7" hidden="1" x14ac:dyDescent="0.25">
      <c r="A201" s="29" t="s">
        <v>443</v>
      </c>
      <c r="B201" s="29">
        <v>0</v>
      </c>
      <c r="C201" s="15">
        <v>0</v>
      </c>
      <c r="G201" s="15" t="str">
        <f t="shared" si="15"/>
        <v>00109160504601</v>
      </c>
    </row>
    <row r="202" spans="1:7" hidden="1" x14ac:dyDescent="0.25">
      <c r="A202" s="29" t="s">
        <v>444</v>
      </c>
      <c r="B202" s="29">
        <v>0</v>
      </c>
      <c r="C202" s="15">
        <v>9513.44</v>
      </c>
      <c r="G202" s="15" t="str">
        <f t="shared" si="15"/>
        <v>00109160504610</v>
      </c>
    </row>
    <row r="203" spans="1:7" hidden="1" x14ac:dyDescent="0.25">
      <c r="A203" s="29" t="s">
        <v>445</v>
      </c>
      <c r="B203" s="29">
        <v>0</v>
      </c>
      <c r="C203" s="15">
        <v>0</v>
      </c>
      <c r="G203" s="15" t="str">
        <f t="shared" si="15"/>
        <v>00109160504620</v>
      </c>
    </row>
    <row r="204" spans="1:7" hidden="1" x14ac:dyDescent="0.25">
      <c r="A204" s="29" t="s">
        <v>446</v>
      </c>
      <c r="B204" s="29">
        <v>0</v>
      </c>
      <c r="C204" s="15">
        <v>0</v>
      </c>
      <c r="G204" s="15" t="str">
        <f t="shared" si="15"/>
        <v>00109160504680</v>
      </c>
    </row>
    <row r="205" spans="1:7" hidden="1" x14ac:dyDescent="0.25">
      <c r="A205" s="29" t="s">
        <v>447</v>
      </c>
      <c r="B205" s="29">
        <v>1637.85</v>
      </c>
      <c r="C205" s="15">
        <v>1306.79</v>
      </c>
      <c r="G205" s="15" t="str">
        <f t="shared" si="15"/>
        <v>00109160504710</v>
      </c>
    </row>
    <row r="206" spans="1:7" hidden="1" x14ac:dyDescent="0.25">
      <c r="A206" s="29" t="s">
        <v>448</v>
      </c>
      <c r="B206" s="29">
        <v>2143.87</v>
      </c>
      <c r="C206" s="15">
        <v>2341.9699999999998</v>
      </c>
      <c r="G206" s="15" t="str">
        <f t="shared" si="15"/>
        <v>00109160504810</v>
      </c>
    </row>
    <row r="207" spans="1:7" hidden="1" x14ac:dyDescent="0.25">
      <c r="A207" s="29" t="s">
        <v>449</v>
      </c>
      <c r="B207" s="29">
        <v>0</v>
      </c>
      <c r="C207" s="15">
        <v>0</v>
      </c>
      <c r="G207" s="15" t="e">
        <f t="shared" si="15"/>
        <v>#N/A</v>
      </c>
    </row>
    <row r="208" spans="1:7" hidden="1" x14ac:dyDescent="0.25">
      <c r="A208" s="29" t="s">
        <v>450</v>
      </c>
      <c r="B208" s="29">
        <v>34960.589999999997</v>
      </c>
      <c r="C208" s="15">
        <v>36601.26</v>
      </c>
      <c r="G208" s="15" t="str">
        <f t="shared" si="15"/>
        <v>00109160504870</v>
      </c>
    </row>
    <row r="209" spans="1:7" hidden="1" x14ac:dyDescent="0.25">
      <c r="A209" s="29" t="s">
        <v>451</v>
      </c>
      <c r="B209" s="29">
        <v>0</v>
      </c>
      <c r="C209" s="15">
        <v>0</v>
      </c>
      <c r="G209" s="15" t="e">
        <f t="shared" si="15"/>
        <v>#N/A</v>
      </c>
    </row>
    <row r="210" spans="1:7" hidden="1" x14ac:dyDescent="0.25">
      <c r="A210" s="29" t="s">
        <v>452</v>
      </c>
      <c r="B210" s="29">
        <v>0</v>
      </c>
      <c r="C210" s="15">
        <v>0</v>
      </c>
      <c r="G210" s="15" t="str">
        <f t="shared" si="15"/>
        <v>00109160504910</v>
      </c>
    </row>
    <row r="211" spans="1:7" hidden="1" x14ac:dyDescent="0.25">
      <c r="A211" s="29" t="s">
        <v>453</v>
      </c>
      <c r="B211" s="29">
        <v>0</v>
      </c>
      <c r="C211" s="15">
        <v>0</v>
      </c>
      <c r="G211" s="15" t="e">
        <f t="shared" si="15"/>
        <v>#N/A</v>
      </c>
    </row>
    <row r="212" spans="1:7" hidden="1" x14ac:dyDescent="0.25">
      <c r="A212" s="29" t="s">
        <v>454</v>
      </c>
      <c r="B212" s="29">
        <v>-104.34</v>
      </c>
      <c r="C212" s="15">
        <v>0</v>
      </c>
      <c r="G212" s="15" t="str">
        <f t="shared" si="15"/>
        <v>00109160505101</v>
      </c>
    </row>
    <row r="213" spans="1:7" hidden="1" x14ac:dyDescent="0.25">
      <c r="A213" s="29" t="s">
        <v>455</v>
      </c>
      <c r="B213" s="29">
        <v>2801.24</v>
      </c>
      <c r="C213" s="15">
        <v>2883.63</v>
      </c>
      <c r="G213" s="15" t="str">
        <f t="shared" si="15"/>
        <v>00109160505200</v>
      </c>
    </row>
    <row r="214" spans="1:7" hidden="1" x14ac:dyDescent="0.25">
      <c r="A214" s="29" t="s">
        <v>456</v>
      </c>
      <c r="B214" s="29">
        <v>8809.2199999999993</v>
      </c>
      <c r="C214" s="15">
        <v>8868.4599999999991</v>
      </c>
      <c r="G214" s="15" t="str">
        <f t="shared" si="15"/>
        <v>00109160505201</v>
      </c>
    </row>
    <row r="215" spans="1:7" hidden="1" x14ac:dyDescent="0.25">
      <c r="A215" s="29" t="s">
        <v>457</v>
      </c>
      <c r="B215" s="29">
        <v>544.41999999999996</v>
      </c>
      <c r="C215" s="15">
        <v>0</v>
      </c>
      <c r="G215" s="15" t="str">
        <f t="shared" si="15"/>
        <v>00109160505250</v>
      </c>
    </row>
    <row r="216" spans="1:7" hidden="1" x14ac:dyDescent="0.25">
      <c r="A216" s="29" t="s">
        <v>458</v>
      </c>
      <c r="B216" s="29">
        <v>0</v>
      </c>
      <c r="C216" s="15">
        <v>0</v>
      </c>
      <c r="G216" s="15" t="e">
        <f t="shared" si="15"/>
        <v>#N/A</v>
      </c>
    </row>
    <row r="217" spans="1:7" hidden="1" x14ac:dyDescent="0.25">
      <c r="A217" s="29" t="s">
        <v>459</v>
      </c>
      <c r="B217" s="29">
        <v>0</v>
      </c>
      <c r="C217" s="15">
        <v>0</v>
      </c>
      <c r="G217" s="15" t="e">
        <f t="shared" si="15"/>
        <v>#N/A</v>
      </c>
    </row>
    <row r="218" spans="1:7" hidden="1" x14ac:dyDescent="0.25">
      <c r="A218" s="29" t="s">
        <v>460</v>
      </c>
      <c r="B218" s="29">
        <v>0</v>
      </c>
      <c r="C218" s="15">
        <v>0</v>
      </c>
      <c r="G218" s="15" t="e">
        <f t="shared" si="15"/>
        <v>#N/A</v>
      </c>
    </row>
    <row r="219" spans="1:7" hidden="1" x14ac:dyDescent="0.25">
      <c r="A219" s="29" t="s">
        <v>461</v>
      </c>
      <c r="B219" s="29">
        <v>0</v>
      </c>
      <c r="C219" s="15">
        <v>0</v>
      </c>
      <c r="G219" s="15" t="e">
        <f t="shared" si="15"/>
        <v>#N/A</v>
      </c>
    </row>
    <row r="220" spans="1:7" hidden="1" x14ac:dyDescent="0.25">
      <c r="A220" s="29" t="s">
        <v>462</v>
      </c>
      <c r="B220" s="29">
        <v>67031.86</v>
      </c>
      <c r="C220" s="15">
        <v>52315.68</v>
      </c>
      <c r="G220" s="15" t="str">
        <f t="shared" si="15"/>
        <v>00109160505250LR030</v>
      </c>
    </row>
    <row r="221" spans="1:7" hidden="1" x14ac:dyDescent="0.25">
      <c r="A221" s="29" t="s">
        <v>463</v>
      </c>
      <c r="B221" s="29">
        <v>43063.92</v>
      </c>
      <c r="C221" s="15">
        <v>47503.88</v>
      </c>
      <c r="G221" s="15" t="str">
        <f t="shared" si="15"/>
        <v>00109160505250LR035</v>
      </c>
    </row>
    <row r="222" spans="1:7" hidden="1" x14ac:dyDescent="0.25">
      <c r="A222" s="29" t="s">
        <v>464</v>
      </c>
      <c r="B222" s="29">
        <v>0</v>
      </c>
      <c r="C222" s="15">
        <v>0</v>
      </c>
      <c r="G222" s="15" t="str">
        <f t="shared" si="15"/>
        <v>00109160505255</v>
      </c>
    </row>
    <row r="223" spans="1:7" hidden="1" x14ac:dyDescent="0.25">
      <c r="A223" s="29" t="s">
        <v>465</v>
      </c>
      <c r="B223" s="29">
        <v>474667.21</v>
      </c>
      <c r="C223" s="15">
        <v>531465.01</v>
      </c>
      <c r="G223" s="15" t="str">
        <f t="shared" si="15"/>
        <v>00109160505255LR005</v>
      </c>
    </row>
    <row r="224" spans="1:7" hidden="1" x14ac:dyDescent="0.25">
      <c r="A224" s="29" t="s">
        <v>466</v>
      </c>
      <c r="B224" s="29">
        <v>7095.3</v>
      </c>
      <c r="C224" s="15">
        <v>21387.56</v>
      </c>
      <c r="G224" s="15" t="str">
        <f t="shared" si="15"/>
        <v>00109160505255LR010</v>
      </c>
    </row>
    <row r="225" spans="1:7" hidden="1" x14ac:dyDescent="0.25">
      <c r="A225" s="29" t="s">
        <v>467</v>
      </c>
      <c r="B225" s="29">
        <v>17075.04</v>
      </c>
      <c r="C225" s="15">
        <v>14549.59</v>
      </c>
      <c r="G225" s="15" t="str">
        <f t="shared" si="15"/>
        <v>00109160505255LR015</v>
      </c>
    </row>
    <row r="226" spans="1:7" hidden="1" x14ac:dyDescent="0.25">
      <c r="A226" s="29" t="s">
        <v>468</v>
      </c>
      <c r="B226" s="29">
        <v>23087.27</v>
      </c>
      <c r="C226" s="15">
        <v>19271.55</v>
      </c>
      <c r="G226" s="15" t="str">
        <f t="shared" si="15"/>
        <v>00109160505255LR020</v>
      </c>
    </row>
    <row r="227" spans="1:7" hidden="1" x14ac:dyDescent="0.25">
      <c r="A227" s="29" t="s">
        <v>469</v>
      </c>
      <c r="B227" s="29">
        <v>18592.55</v>
      </c>
      <c r="C227" s="15">
        <v>14699.82</v>
      </c>
      <c r="G227" s="15" t="str">
        <f t="shared" si="15"/>
        <v>00109160505255LR025</v>
      </c>
    </row>
    <row r="228" spans="1:7" hidden="1" x14ac:dyDescent="0.25">
      <c r="A228" s="29" t="s">
        <v>470</v>
      </c>
      <c r="B228" s="29">
        <v>1643.91</v>
      </c>
      <c r="C228" s="15">
        <v>222.45</v>
      </c>
      <c r="G228" s="15" t="str">
        <f t="shared" si="15"/>
        <v>00109160505260</v>
      </c>
    </row>
    <row r="229" spans="1:7" hidden="1" x14ac:dyDescent="0.25">
      <c r="A229" s="29" t="s">
        <v>471</v>
      </c>
      <c r="B229" s="29">
        <v>0</v>
      </c>
      <c r="C229" s="15">
        <v>0</v>
      </c>
      <c r="G229" s="15" t="str">
        <f t="shared" si="15"/>
        <v>00109160505401</v>
      </c>
    </row>
    <row r="230" spans="1:7" hidden="1" x14ac:dyDescent="0.25">
      <c r="A230" s="29" t="s">
        <v>472</v>
      </c>
      <c r="B230" s="29">
        <v>0</v>
      </c>
      <c r="C230" s="15">
        <v>0</v>
      </c>
      <c r="G230" s="15" t="str">
        <f t="shared" si="15"/>
        <v>00109160505501</v>
      </c>
    </row>
    <row r="231" spans="1:7" hidden="1" x14ac:dyDescent="0.25">
      <c r="A231" s="29" t="s">
        <v>473</v>
      </c>
      <c r="B231" s="29">
        <v>0</v>
      </c>
      <c r="C231" s="15">
        <v>0</v>
      </c>
      <c r="G231" s="15" t="str">
        <f t="shared" si="15"/>
        <v>00109160505505</v>
      </c>
    </row>
    <row r="232" spans="1:7" hidden="1" x14ac:dyDescent="0.25">
      <c r="A232" s="29" t="s">
        <v>474</v>
      </c>
      <c r="B232" s="29">
        <v>0</v>
      </c>
      <c r="C232" s="15">
        <v>0</v>
      </c>
      <c r="G232" s="15" t="str">
        <f t="shared" si="15"/>
        <v>00109160505532</v>
      </c>
    </row>
    <row r="233" spans="1:7" hidden="1" x14ac:dyDescent="0.25">
      <c r="A233" s="29" t="s">
        <v>475</v>
      </c>
      <c r="B233" s="29">
        <v>0</v>
      </c>
      <c r="C233" s="15">
        <v>0</v>
      </c>
      <c r="G233" s="15" t="str">
        <f t="shared" si="15"/>
        <v>00109160505540</v>
      </c>
    </row>
    <row r="234" spans="1:7" hidden="1" x14ac:dyDescent="0.25">
      <c r="A234" s="29" t="s">
        <v>476</v>
      </c>
      <c r="B234" s="29">
        <v>114</v>
      </c>
      <c r="C234" s="15">
        <v>169.9</v>
      </c>
      <c r="G234" s="15" t="str">
        <f t="shared" si="15"/>
        <v>00109160505550</v>
      </c>
    </row>
    <row r="235" spans="1:7" hidden="1" x14ac:dyDescent="0.25">
      <c r="A235" s="29" t="s">
        <v>477</v>
      </c>
      <c r="B235" s="29">
        <v>0</v>
      </c>
      <c r="C235" s="15">
        <v>0</v>
      </c>
      <c r="G235" s="15" t="str">
        <f t="shared" si="15"/>
        <v>00109160505701</v>
      </c>
    </row>
    <row r="236" spans="1:7" hidden="1" x14ac:dyDescent="0.25">
      <c r="A236" s="29" t="s">
        <v>478</v>
      </c>
      <c r="B236" s="29">
        <v>0</v>
      </c>
      <c r="C236" s="15">
        <v>0</v>
      </c>
      <c r="G236" s="15" t="str">
        <f t="shared" si="15"/>
        <v>00109160505710</v>
      </c>
    </row>
    <row r="237" spans="1:7" hidden="1" x14ac:dyDescent="0.25">
      <c r="A237" s="29" t="s">
        <v>479</v>
      </c>
      <c r="B237" s="29">
        <v>0</v>
      </c>
      <c r="C237" s="15">
        <v>0</v>
      </c>
      <c r="G237" s="15" t="e">
        <f t="shared" si="15"/>
        <v>#N/A</v>
      </c>
    </row>
    <row r="238" spans="1:7" hidden="1" x14ac:dyDescent="0.25">
      <c r="A238" s="29" t="s">
        <v>480</v>
      </c>
      <c r="B238" s="29">
        <v>99</v>
      </c>
      <c r="C238" s="15">
        <v>12711.98</v>
      </c>
      <c r="G238" s="15" t="str">
        <f t="shared" si="15"/>
        <v>00109160505750</v>
      </c>
    </row>
    <row r="239" spans="1:7" hidden="1" x14ac:dyDescent="0.25">
      <c r="A239" s="29" t="s">
        <v>481</v>
      </c>
      <c r="B239" s="29">
        <v>0</v>
      </c>
      <c r="C239" s="15">
        <v>9582.7999999999993</v>
      </c>
      <c r="G239" s="15" t="str">
        <f t="shared" si="15"/>
        <v>00109160505750LR030</v>
      </c>
    </row>
    <row r="240" spans="1:7" hidden="1" x14ac:dyDescent="0.25">
      <c r="A240" s="29" t="s">
        <v>482</v>
      </c>
      <c r="B240" s="29">
        <v>0</v>
      </c>
      <c r="C240" s="15">
        <v>0</v>
      </c>
      <c r="G240" s="15" t="e">
        <f t="shared" si="15"/>
        <v>#N/A</v>
      </c>
    </row>
    <row r="241" spans="1:7" hidden="1" x14ac:dyDescent="0.25">
      <c r="A241" s="29" t="s">
        <v>483</v>
      </c>
      <c r="B241" s="29">
        <v>15954.2</v>
      </c>
      <c r="C241" s="15">
        <v>0</v>
      </c>
      <c r="G241" s="15" t="str">
        <f t="shared" si="15"/>
        <v>00109160505801</v>
      </c>
    </row>
    <row r="242" spans="1:7" hidden="1" x14ac:dyDescent="0.25">
      <c r="A242" s="29" t="s">
        <v>484</v>
      </c>
      <c r="B242" s="29">
        <v>0</v>
      </c>
      <c r="C242" s="15">
        <v>0</v>
      </c>
      <c r="G242" s="15" t="e">
        <f t="shared" si="15"/>
        <v>#N/A</v>
      </c>
    </row>
    <row r="243" spans="1:7" hidden="1" x14ac:dyDescent="0.25">
      <c r="A243" s="29" t="s">
        <v>485</v>
      </c>
      <c r="B243" s="29">
        <v>0</v>
      </c>
      <c r="C243" s="15">
        <v>0</v>
      </c>
      <c r="G243" s="15" t="e">
        <f t="shared" si="15"/>
        <v>#N/A</v>
      </c>
    </row>
    <row r="244" spans="1:7" hidden="1" x14ac:dyDescent="0.25">
      <c r="A244" s="29" t="s">
        <v>486</v>
      </c>
      <c r="B244" s="29">
        <v>0</v>
      </c>
      <c r="C244" s="15">
        <v>0</v>
      </c>
      <c r="G244" s="15" t="e">
        <f t="shared" si="15"/>
        <v>#N/A</v>
      </c>
    </row>
    <row r="245" spans="1:7" hidden="1" x14ac:dyDescent="0.25">
      <c r="A245" s="29" t="s">
        <v>487</v>
      </c>
      <c r="B245" s="29">
        <v>0</v>
      </c>
      <c r="C245" s="15">
        <v>0</v>
      </c>
      <c r="G245" s="15" t="e">
        <f t="shared" si="15"/>
        <v>#N/A</v>
      </c>
    </row>
    <row r="246" spans="1:7" hidden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  <rowBreaks count="2" manualBreakCount="2">
    <brk id="43" max="16383" man="1"/>
    <brk id="95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43C9-682E-4CA8-833E-DDB0C0D0BBC1}">
  <sheetPr>
    <tabColor rgb="FF9966FF"/>
    <pageSetUpPr autoPageBreaks="0"/>
  </sheetPr>
  <dimension ref="A1:T382"/>
  <sheetViews>
    <sheetView showGridLines="0" zoomScaleNormal="100" zoomScaleSheetLayoutView="100" workbookViewId="0">
      <pane ySplit="10" topLeftCell="A11" activePane="bottomLeft" state="frozen"/>
      <selection activeCell="R10" sqref="R10"/>
      <selection pane="bottomLeft" activeCell="M17" sqref="M17:M34"/>
    </sheetView>
  </sheetViews>
  <sheetFormatPr defaultColWidth="9.140625" defaultRowHeight="15" x14ac:dyDescent="0.25"/>
  <cols>
    <col min="1" max="1" width="35.28515625" style="15" customWidth="1"/>
    <col min="2" max="2" width="11.2851562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86" hidden="1" customWidth="1"/>
    <col min="16" max="16" width="1.7109375" style="2" hidden="1" customWidth="1"/>
    <col min="17" max="17" width="9.7109375" style="15" hidden="1" customWidth="1"/>
    <col min="18" max="18" width="26.7109375" customWidth="1"/>
    <col min="21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"/>
      <c r="Q1" s="8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5"/>
    </row>
    <row r="3" spans="1:18" ht="13.15" customHeight="1" x14ac:dyDescent="0.25">
      <c r="A3" s="8"/>
      <c r="B3" s="80"/>
      <c r="C3" s="8"/>
      <c r="D3" s="8"/>
      <c r="G3" s="8"/>
      <c r="I3" s="81"/>
      <c r="K3" s="8"/>
      <c r="M3" s="8"/>
      <c r="N3" s="8"/>
      <c r="O3" s="82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8"/>
    </row>
    <row r="5" spans="1:18" ht="13.15" customHeight="1" x14ac:dyDescent="0.25">
      <c r="A5" s="83" t="s">
        <v>488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8"/>
    </row>
    <row r="6" spans="1:18" ht="13.15" customHeight="1" x14ac:dyDescent="0.25">
      <c r="A6" s="83" t="s">
        <v>489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8"/>
    </row>
    <row r="7" spans="1:18" ht="13.15" customHeight="1" x14ac:dyDescent="0.25">
      <c r="A7" s="84"/>
      <c r="B7" s="85"/>
      <c r="C7" s="84"/>
      <c r="D7" s="84"/>
      <c r="E7" s="117"/>
      <c r="F7" s="110"/>
      <c r="G7" s="84"/>
      <c r="H7" s="110"/>
      <c r="I7" s="111"/>
      <c r="J7" s="110"/>
      <c r="K7" s="84"/>
      <c r="L7" s="110"/>
      <c r="M7" s="84"/>
      <c r="Q7" s="84"/>
    </row>
    <row r="8" spans="1:18" x14ac:dyDescent="0.25">
      <c r="G8" s="18"/>
      <c r="H8" s="19"/>
      <c r="I8" s="20"/>
      <c r="J8" s="19"/>
      <c r="K8" s="18"/>
      <c r="L8" s="21" t="s">
        <v>4</v>
      </c>
      <c r="M8" s="22">
        <f>' 911 Admin'!M8</f>
        <v>2027</v>
      </c>
      <c r="N8" s="22"/>
      <c r="O8" s="22"/>
      <c r="P8" s="22"/>
      <c r="Q8" s="22"/>
    </row>
    <row r="9" spans="1:18" x14ac:dyDescent="0.25">
      <c r="C9" s="21"/>
      <c r="D9" s="21"/>
      <c r="E9" s="23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x14ac:dyDescent="0.25">
      <c r="B10" s="26" t="s">
        <v>8</v>
      </c>
      <c r="C10" s="26" t="s">
        <v>9</v>
      </c>
      <c r="D10" s="26" t="s">
        <v>10</v>
      </c>
      <c r="E10" s="23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3.5" customHeight="1" x14ac:dyDescent="0.25">
      <c r="A11" s="28" t="s">
        <v>16</v>
      </c>
      <c r="C11" s="42"/>
      <c r="D11" s="42"/>
      <c r="I11" s="15"/>
      <c r="M11" s="86"/>
      <c r="Q11" s="86"/>
    </row>
    <row r="12" spans="1:18" ht="13.5" customHeight="1" x14ac:dyDescent="0.25">
      <c r="A12" s="40" t="s">
        <v>122</v>
      </c>
      <c r="B12" s="70" t="s">
        <v>490</v>
      </c>
      <c r="C12" s="15">
        <v>501300</v>
      </c>
      <c r="E12" s="71" t="str">
        <f>_xlfn.CONCAT(B12,C12,D12)</f>
        <v>00109080501300</v>
      </c>
      <c r="G12" s="34">
        <f>ROUND(IFERROR(VLOOKUP(_xlfn.CONCAT($B12,$C12,$D12),$A$45:$C$9994,3,FALSE),0),0)</f>
        <v>0</v>
      </c>
      <c r="H12" s="140"/>
      <c r="I12" s="34">
        <f>ROUND(IFERROR(VLOOKUP(_xlfn.CONCAT($B12,$C12,$D12),$A$45:$C$9994,2,FALSE),0),0)</f>
        <v>0</v>
      </c>
      <c r="J12" s="140"/>
      <c r="K12" s="45">
        <v>0</v>
      </c>
      <c r="L12" s="67"/>
      <c r="M12" s="45">
        <v>0</v>
      </c>
      <c r="N12" s="67"/>
      <c r="O12" s="45">
        <f>M12</f>
        <v>0</v>
      </c>
      <c r="Q12" s="45">
        <f>O12</f>
        <v>0</v>
      </c>
    </row>
    <row r="13" spans="1:18" ht="13.5" customHeight="1" x14ac:dyDescent="0.25">
      <c r="A13" s="92" t="s">
        <v>225</v>
      </c>
      <c r="B13" s="70" t="s">
        <v>490</v>
      </c>
      <c r="C13" s="42">
        <v>501305</v>
      </c>
      <c r="D13" s="42"/>
      <c r="E13" s="71" t="str">
        <f t="shared" ref="E13:E34" si="0">_xlfn.CONCAT(B13,C13,D13)</f>
        <v>00109080501305</v>
      </c>
      <c r="F13" s="42" t="s">
        <v>19</v>
      </c>
      <c r="G13" s="34">
        <f t="shared" ref="G13:G14" si="1">ROUND(IFERROR(VLOOKUP(_xlfn.CONCAT($B13,$C13,$D13),$A$45:$C$9994,3,FALSE),0),0)</f>
        <v>53055</v>
      </c>
      <c r="H13" s="42" t="s">
        <v>19</v>
      </c>
      <c r="I13" s="34">
        <f t="shared" ref="I13:I14" si="2">ROUND(IFERROR(VLOOKUP(_xlfn.CONCAT($B13,$C13,$D13),$A$45:$C$9994,2,FALSE),0),0)</f>
        <v>49606</v>
      </c>
      <c r="J13" s="42" t="s">
        <v>19</v>
      </c>
      <c r="K13" s="45">
        <v>22500</v>
      </c>
      <c r="L13" s="42" t="s">
        <v>19</v>
      </c>
      <c r="M13" s="45">
        <v>22500</v>
      </c>
      <c r="N13" s="141" t="s">
        <v>19</v>
      </c>
      <c r="O13" s="45">
        <f>M13</f>
        <v>22500</v>
      </c>
      <c r="P13" s="141" t="s">
        <v>19</v>
      </c>
      <c r="Q13" s="45">
        <f>O13</f>
        <v>22500</v>
      </c>
    </row>
    <row r="14" spans="1:18" ht="13.5" customHeight="1" x14ac:dyDescent="0.25">
      <c r="A14" s="40" t="s">
        <v>27</v>
      </c>
      <c r="B14" s="70" t="s">
        <v>490</v>
      </c>
      <c r="C14" s="69">
        <v>502100</v>
      </c>
      <c r="D14" s="69"/>
      <c r="E14" s="71" t="str">
        <f t="shared" si="0"/>
        <v>00109080502100</v>
      </c>
      <c r="G14" s="34">
        <f t="shared" si="1"/>
        <v>4059</v>
      </c>
      <c r="H14" s="140"/>
      <c r="I14" s="34">
        <f t="shared" si="2"/>
        <v>3795</v>
      </c>
      <c r="J14" s="140"/>
      <c r="K14" s="97">
        <v>1721</v>
      </c>
      <c r="L14" s="67"/>
      <c r="M14" s="97">
        <f>'[1]Payroll Summary by Department'!N58</f>
        <v>1721</v>
      </c>
      <c r="N14" s="45"/>
      <c r="O14" s="97">
        <f>M14</f>
        <v>1721</v>
      </c>
      <c r="Q14" s="45">
        <f>O14</f>
        <v>1721</v>
      </c>
    </row>
    <row r="15" spans="1:18" ht="24" customHeight="1" x14ac:dyDescent="0.25">
      <c r="A15" s="49" t="s">
        <v>31</v>
      </c>
      <c r="B15" s="50"/>
      <c r="C15" s="42"/>
      <c r="D15" s="42"/>
      <c r="E15" s="71" t="str">
        <f t="shared" si="0"/>
        <v/>
      </c>
      <c r="F15" s="42" t="s">
        <v>19</v>
      </c>
      <c r="G15" s="142">
        <f>SUM(G12:G14)</f>
        <v>57114</v>
      </c>
      <c r="H15" s="42" t="s">
        <v>19</v>
      </c>
      <c r="I15" s="142">
        <f>SUM(I12:I14)</f>
        <v>53401</v>
      </c>
      <c r="J15" s="42" t="s">
        <v>19</v>
      </c>
      <c r="K15" s="127">
        <f>SUM(K12:K14)</f>
        <v>24221</v>
      </c>
      <c r="L15" s="42" t="s">
        <v>19</v>
      </c>
      <c r="M15" s="97">
        <f>SUM(M12:M14)</f>
        <v>24221</v>
      </c>
      <c r="N15" s="42" t="s">
        <v>19</v>
      </c>
      <c r="O15" s="97">
        <f>SUM(O12:O14)</f>
        <v>24221</v>
      </c>
      <c r="P15" s="42" t="s">
        <v>19</v>
      </c>
      <c r="Q15" s="98">
        <f>SUM(Q12:Q14)</f>
        <v>24221</v>
      </c>
    </row>
    <row r="16" spans="1:18" ht="24" customHeight="1" x14ac:dyDescent="0.25">
      <c r="A16" s="99" t="s">
        <v>52</v>
      </c>
      <c r="C16" s="42"/>
      <c r="D16" s="42"/>
      <c r="E16" s="71" t="str">
        <f t="shared" si="0"/>
        <v/>
      </c>
      <c r="G16" s="126"/>
      <c r="H16" s="140"/>
      <c r="I16" s="126"/>
      <c r="J16" s="140"/>
      <c r="K16" s="126"/>
      <c r="L16" s="140"/>
      <c r="M16" s="45"/>
      <c r="N16" s="44"/>
      <c r="O16" s="126"/>
      <c r="Q16" s="45"/>
    </row>
    <row r="17" spans="1:17" ht="13.5" customHeight="1" x14ac:dyDescent="0.25">
      <c r="A17" s="40" t="s">
        <v>491</v>
      </c>
      <c r="B17" s="70" t="s">
        <v>490</v>
      </c>
      <c r="C17" s="42">
        <v>504310</v>
      </c>
      <c r="D17" s="69"/>
      <c r="E17" s="71" t="str">
        <f t="shared" si="0"/>
        <v>00109080504310</v>
      </c>
      <c r="F17" s="42" t="s">
        <v>19</v>
      </c>
      <c r="G17" s="34">
        <f t="shared" ref="G17:G33" si="3">ROUND(IFERROR(VLOOKUP(_xlfn.CONCAT($B17,$C17,$D17),$A$45:$C$9994,3,FALSE),0),0)</f>
        <v>6800</v>
      </c>
      <c r="H17" s="42" t="s">
        <v>19</v>
      </c>
      <c r="I17" s="34">
        <f t="shared" ref="I17:I34" si="4">ROUND(IFERROR(VLOOKUP(_xlfn.CONCAT($B17,$C17,$D17),$A$45:$C$9994,2,FALSE),0),0)</f>
        <v>6800</v>
      </c>
      <c r="J17" s="42" t="s">
        <v>19</v>
      </c>
      <c r="K17" s="126">
        <v>6800</v>
      </c>
      <c r="L17" s="42" t="s">
        <v>19</v>
      </c>
      <c r="M17" s="234">
        <v>6800</v>
      </c>
      <c r="N17" s="15" t="s">
        <v>19</v>
      </c>
      <c r="O17" s="126">
        <f t="shared" ref="O17:O34" si="5">M17</f>
        <v>6800</v>
      </c>
      <c r="P17" s="2" t="s">
        <v>19</v>
      </c>
      <c r="Q17" s="45">
        <f t="shared" ref="Q17:Q34" si="6">O17</f>
        <v>6800</v>
      </c>
    </row>
    <row r="18" spans="1:17" ht="13.5" customHeight="1" x14ac:dyDescent="0.25">
      <c r="A18" s="40" t="s">
        <v>66</v>
      </c>
      <c r="B18" s="70" t="s">
        <v>490</v>
      </c>
      <c r="C18" s="69">
        <v>504450</v>
      </c>
      <c r="D18" s="69"/>
      <c r="E18" s="71" t="str">
        <f t="shared" si="0"/>
        <v>00109080504450</v>
      </c>
      <c r="G18" s="34">
        <f t="shared" si="3"/>
        <v>0</v>
      </c>
      <c r="H18" s="140"/>
      <c r="I18" s="34">
        <f t="shared" si="4"/>
        <v>466</v>
      </c>
      <c r="J18" s="140"/>
      <c r="K18" s="126"/>
      <c r="L18" s="140"/>
      <c r="M18" s="234"/>
      <c r="N18" s="44"/>
      <c r="O18" s="126"/>
      <c r="Q18" s="45"/>
    </row>
    <row r="19" spans="1:17" ht="13.5" customHeight="1" x14ac:dyDescent="0.25">
      <c r="A19" s="60" t="s">
        <v>492</v>
      </c>
      <c r="B19" s="70" t="s">
        <v>490</v>
      </c>
      <c r="E19" s="71" t="str">
        <f t="shared" si="0"/>
        <v>00109080</v>
      </c>
      <c r="G19" s="34">
        <f t="shared" si="3"/>
        <v>0</v>
      </c>
      <c r="H19" s="43"/>
      <c r="I19" s="34">
        <f t="shared" si="4"/>
        <v>0</v>
      </c>
      <c r="J19" s="43"/>
      <c r="K19" s="126">
        <v>5000</v>
      </c>
      <c r="L19" s="43"/>
      <c r="M19" s="234">
        <v>5000</v>
      </c>
      <c r="N19" s="44"/>
      <c r="O19" s="126">
        <f t="shared" si="5"/>
        <v>5000</v>
      </c>
      <c r="Q19" s="45">
        <f t="shared" si="6"/>
        <v>5000</v>
      </c>
    </row>
    <row r="20" spans="1:17" ht="13.5" customHeight="1" x14ac:dyDescent="0.25">
      <c r="A20" s="40" t="s">
        <v>229</v>
      </c>
      <c r="B20" s="70" t="s">
        <v>490</v>
      </c>
      <c r="C20" s="69">
        <v>504601</v>
      </c>
      <c r="D20" s="69"/>
      <c r="E20" s="71" t="str">
        <f t="shared" si="0"/>
        <v>00109080504601</v>
      </c>
      <c r="G20" s="34">
        <f t="shared" si="3"/>
        <v>20206</v>
      </c>
      <c r="H20" s="140"/>
      <c r="I20" s="34">
        <f t="shared" si="4"/>
        <v>19340</v>
      </c>
      <c r="J20" s="140"/>
      <c r="K20" s="140">
        <v>0</v>
      </c>
      <c r="L20" s="140"/>
      <c r="M20" s="240">
        <v>0</v>
      </c>
      <c r="N20" s="44"/>
      <c r="O20" s="126">
        <f t="shared" si="5"/>
        <v>0</v>
      </c>
      <c r="Q20" s="45">
        <f t="shared" si="6"/>
        <v>0</v>
      </c>
    </row>
    <row r="21" spans="1:17" ht="13.5" customHeight="1" x14ac:dyDescent="0.25">
      <c r="A21" s="60" t="s">
        <v>493</v>
      </c>
      <c r="B21" s="70" t="s">
        <v>490</v>
      </c>
      <c r="C21" s="69"/>
      <c r="D21" s="69"/>
      <c r="E21" s="71" t="str">
        <f t="shared" si="0"/>
        <v>00109080</v>
      </c>
      <c r="G21" s="34">
        <f t="shared" si="3"/>
        <v>0</v>
      </c>
      <c r="H21" s="140"/>
      <c r="I21" s="34">
        <f t="shared" si="4"/>
        <v>0</v>
      </c>
      <c r="J21" s="140"/>
      <c r="K21" s="143">
        <v>0</v>
      </c>
      <c r="L21" s="140"/>
      <c r="M21" s="238"/>
      <c r="N21" s="44"/>
      <c r="O21" s="126"/>
      <c r="Q21" s="45">
        <f t="shared" si="6"/>
        <v>0</v>
      </c>
    </row>
    <row r="22" spans="1:17" ht="13.5" customHeight="1" x14ac:dyDescent="0.25">
      <c r="A22" s="137" t="s">
        <v>494</v>
      </c>
      <c r="B22" s="70" t="s">
        <v>490</v>
      </c>
      <c r="C22" s="69"/>
      <c r="D22" s="69"/>
      <c r="E22" s="71" t="str">
        <f t="shared" si="0"/>
        <v>00109080</v>
      </c>
      <c r="G22" s="34">
        <f t="shared" si="3"/>
        <v>0</v>
      </c>
      <c r="H22" s="140"/>
      <c r="I22" s="34">
        <f t="shared" si="4"/>
        <v>0</v>
      </c>
      <c r="J22" s="140"/>
      <c r="K22" s="126">
        <v>15000</v>
      </c>
      <c r="L22" s="140"/>
      <c r="M22" s="234">
        <v>15000</v>
      </c>
      <c r="N22" s="44"/>
      <c r="O22" s="126">
        <f t="shared" si="5"/>
        <v>15000</v>
      </c>
      <c r="Q22" s="45">
        <f t="shared" si="6"/>
        <v>15000</v>
      </c>
    </row>
    <row r="23" spans="1:17" ht="13.5" customHeight="1" x14ac:dyDescent="0.25">
      <c r="A23" s="137" t="s">
        <v>495</v>
      </c>
      <c r="B23" s="70" t="s">
        <v>490</v>
      </c>
      <c r="C23" s="69"/>
      <c r="D23" s="69"/>
      <c r="E23" s="71" t="str">
        <f t="shared" si="0"/>
        <v>00109080</v>
      </c>
      <c r="G23" s="34">
        <f t="shared" si="3"/>
        <v>0</v>
      </c>
      <c r="H23" s="140"/>
      <c r="I23" s="34">
        <f t="shared" si="4"/>
        <v>0</v>
      </c>
      <c r="J23" s="140"/>
      <c r="K23" s="126">
        <v>5000</v>
      </c>
      <c r="L23" s="140"/>
      <c r="M23" s="234">
        <v>5000</v>
      </c>
      <c r="N23" s="44"/>
      <c r="O23" s="126">
        <f t="shared" si="5"/>
        <v>5000</v>
      </c>
      <c r="Q23" s="45">
        <f t="shared" si="6"/>
        <v>5000</v>
      </c>
    </row>
    <row r="24" spans="1:17" ht="13.5" customHeight="1" x14ac:dyDescent="0.25">
      <c r="A24" s="60" t="s">
        <v>129</v>
      </c>
      <c r="B24" s="70" t="s">
        <v>490</v>
      </c>
      <c r="C24" s="69"/>
      <c r="D24" s="69"/>
      <c r="E24" s="71" t="str">
        <f t="shared" si="0"/>
        <v>00109080</v>
      </c>
      <c r="G24" s="34">
        <f t="shared" si="3"/>
        <v>0</v>
      </c>
      <c r="H24" s="140"/>
      <c r="I24" s="34">
        <f t="shared" si="4"/>
        <v>0</v>
      </c>
      <c r="J24" s="140"/>
      <c r="K24" s="126">
        <v>1500</v>
      </c>
      <c r="L24" s="140"/>
      <c r="M24" s="234">
        <v>1500</v>
      </c>
      <c r="N24" s="44"/>
      <c r="O24" s="126">
        <f t="shared" si="5"/>
        <v>1500</v>
      </c>
      <c r="Q24" s="45">
        <f t="shared" si="6"/>
        <v>1500</v>
      </c>
    </row>
    <row r="25" spans="1:17" ht="13.5" customHeight="1" x14ac:dyDescent="0.25">
      <c r="A25" s="40" t="s">
        <v>132</v>
      </c>
      <c r="B25" s="70" t="s">
        <v>490</v>
      </c>
      <c r="C25" s="69">
        <v>504610</v>
      </c>
      <c r="D25" s="69"/>
      <c r="E25" s="71" t="str">
        <f t="shared" si="0"/>
        <v>00109080504610</v>
      </c>
      <c r="G25" s="34">
        <f t="shared" si="3"/>
        <v>8279</v>
      </c>
      <c r="H25" s="140"/>
      <c r="I25" s="34">
        <f t="shared" si="4"/>
        <v>0</v>
      </c>
      <c r="J25" s="140"/>
      <c r="K25" s="126">
        <v>0</v>
      </c>
      <c r="L25" s="140"/>
      <c r="M25" s="234">
        <v>0</v>
      </c>
      <c r="N25" s="44"/>
      <c r="O25" s="126">
        <f t="shared" si="5"/>
        <v>0</v>
      </c>
      <c r="Q25" s="45">
        <f t="shared" si="6"/>
        <v>0</v>
      </c>
    </row>
    <row r="26" spans="1:17" ht="13.5" customHeight="1" x14ac:dyDescent="0.25">
      <c r="A26" s="40" t="s">
        <v>135</v>
      </c>
      <c r="B26" s="70" t="s">
        <v>490</v>
      </c>
      <c r="C26" s="69">
        <v>504620</v>
      </c>
      <c r="D26" s="69"/>
      <c r="E26" s="71" t="str">
        <f t="shared" si="0"/>
        <v>00109080504620</v>
      </c>
      <c r="G26" s="34">
        <f t="shared" si="3"/>
        <v>1818</v>
      </c>
      <c r="H26" s="140"/>
      <c r="I26" s="34">
        <f t="shared" si="4"/>
        <v>11080</v>
      </c>
      <c r="J26" s="140"/>
      <c r="K26" s="126">
        <v>0</v>
      </c>
      <c r="L26" s="140"/>
      <c r="M26" s="234">
        <v>0</v>
      </c>
      <c r="N26" s="44"/>
      <c r="O26" s="126">
        <f t="shared" si="5"/>
        <v>0</v>
      </c>
      <c r="Q26" s="45">
        <f t="shared" si="6"/>
        <v>0</v>
      </c>
    </row>
    <row r="27" spans="1:17" ht="13.5" customHeight="1" x14ac:dyDescent="0.25">
      <c r="A27" s="60" t="s">
        <v>496</v>
      </c>
      <c r="B27" s="70" t="s">
        <v>490</v>
      </c>
      <c r="C27" s="69"/>
      <c r="D27" s="69"/>
      <c r="E27" s="71" t="str">
        <f t="shared" si="0"/>
        <v>00109080</v>
      </c>
      <c r="G27" s="34">
        <f t="shared" si="3"/>
        <v>0</v>
      </c>
      <c r="H27" s="140"/>
      <c r="I27" s="34">
        <f t="shared" si="4"/>
        <v>0</v>
      </c>
      <c r="J27" s="140"/>
      <c r="K27" s="126">
        <v>0</v>
      </c>
      <c r="L27" s="140"/>
      <c r="M27" s="234">
        <v>0</v>
      </c>
      <c r="N27" s="44"/>
      <c r="O27" s="126">
        <f t="shared" si="5"/>
        <v>0</v>
      </c>
      <c r="Q27" s="45">
        <f t="shared" si="6"/>
        <v>0</v>
      </c>
    </row>
    <row r="28" spans="1:17" ht="13.5" customHeight="1" x14ac:dyDescent="0.25">
      <c r="A28" s="60" t="s">
        <v>497</v>
      </c>
      <c r="B28" s="70" t="s">
        <v>490</v>
      </c>
      <c r="C28" s="69"/>
      <c r="D28" s="69"/>
      <c r="E28" s="71" t="str">
        <f t="shared" si="0"/>
        <v>00109080</v>
      </c>
      <c r="G28" s="34">
        <f t="shared" si="3"/>
        <v>0</v>
      </c>
      <c r="H28" s="140"/>
      <c r="I28" s="34">
        <f t="shared" si="4"/>
        <v>0</v>
      </c>
      <c r="J28" s="140"/>
      <c r="K28" s="126">
        <v>12500</v>
      </c>
      <c r="L28" s="140"/>
      <c r="M28" s="234">
        <v>12500</v>
      </c>
      <c r="N28" s="44"/>
      <c r="O28" s="126">
        <f t="shared" si="5"/>
        <v>12500</v>
      </c>
      <c r="Q28" s="45">
        <f t="shared" si="6"/>
        <v>12500</v>
      </c>
    </row>
    <row r="29" spans="1:17" ht="13.5" customHeight="1" x14ac:dyDescent="0.25">
      <c r="A29" s="40" t="s">
        <v>498</v>
      </c>
      <c r="B29" s="70" t="s">
        <v>490</v>
      </c>
      <c r="C29" s="69">
        <v>504683</v>
      </c>
      <c r="D29" s="69"/>
      <c r="E29" s="71" t="str">
        <f t="shared" si="0"/>
        <v>00109080504683</v>
      </c>
      <c r="G29" s="34">
        <f t="shared" si="3"/>
        <v>982</v>
      </c>
      <c r="H29" s="140"/>
      <c r="I29" s="34">
        <f t="shared" si="4"/>
        <v>0</v>
      </c>
      <c r="J29" s="140"/>
      <c r="K29" s="126">
        <v>2000</v>
      </c>
      <c r="L29" s="140"/>
      <c r="M29" s="234">
        <v>2000</v>
      </c>
      <c r="N29" s="44"/>
      <c r="O29" s="126">
        <f t="shared" si="5"/>
        <v>2000</v>
      </c>
      <c r="Q29" s="45">
        <f t="shared" si="6"/>
        <v>2000</v>
      </c>
    </row>
    <row r="30" spans="1:17" ht="13.5" customHeight="1" x14ac:dyDescent="0.25">
      <c r="A30" s="40" t="s">
        <v>142</v>
      </c>
      <c r="B30" s="70" t="s">
        <v>490</v>
      </c>
      <c r="C30" s="69">
        <v>504699</v>
      </c>
      <c r="D30" s="69"/>
      <c r="E30" s="71" t="str">
        <f t="shared" si="0"/>
        <v>00109080504699</v>
      </c>
      <c r="G30" s="34">
        <f t="shared" si="3"/>
        <v>56</v>
      </c>
      <c r="H30" s="140"/>
      <c r="I30" s="34">
        <f t="shared" si="4"/>
        <v>1296</v>
      </c>
      <c r="J30" s="140"/>
      <c r="K30" s="126">
        <v>1000</v>
      </c>
      <c r="L30" s="140"/>
      <c r="M30" s="234">
        <v>1000</v>
      </c>
      <c r="N30" s="44"/>
      <c r="O30" s="126">
        <f t="shared" si="5"/>
        <v>1000</v>
      </c>
      <c r="Q30" s="45">
        <f t="shared" si="6"/>
        <v>1000</v>
      </c>
    </row>
    <row r="31" spans="1:17" ht="13.5" customHeight="1" x14ac:dyDescent="0.25">
      <c r="A31" s="40" t="s">
        <v>69</v>
      </c>
      <c r="B31" s="70" t="s">
        <v>490</v>
      </c>
      <c r="C31" s="69">
        <v>505201</v>
      </c>
      <c r="D31" s="69"/>
      <c r="E31" s="71" t="str">
        <f t="shared" si="0"/>
        <v>00109080505201</v>
      </c>
      <c r="G31" s="34">
        <f t="shared" si="3"/>
        <v>160</v>
      </c>
      <c r="H31" s="140"/>
      <c r="I31" s="34">
        <f t="shared" si="4"/>
        <v>0</v>
      </c>
      <c r="J31" s="140"/>
      <c r="K31" s="143">
        <v>0</v>
      </c>
      <c r="L31" s="140"/>
      <c r="M31" s="238">
        <v>0</v>
      </c>
      <c r="N31" s="44"/>
      <c r="O31" s="126">
        <f t="shared" si="5"/>
        <v>0</v>
      </c>
      <c r="Q31" s="45">
        <f t="shared" si="6"/>
        <v>0</v>
      </c>
    </row>
    <row r="32" spans="1:17" ht="13.5" customHeight="1" x14ac:dyDescent="0.25">
      <c r="A32" s="40" t="s">
        <v>143</v>
      </c>
      <c r="B32" s="70" t="s">
        <v>490</v>
      </c>
      <c r="C32" s="69">
        <v>505505</v>
      </c>
      <c r="D32" s="69"/>
      <c r="E32" s="71" t="str">
        <f t="shared" si="0"/>
        <v>00109080505505</v>
      </c>
      <c r="G32" s="34">
        <f t="shared" si="3"/>
        <v>0</v>
      </c>
      <c r="H32" s="140"/>
      <c r="I32" s="34">
        <f t="shared" si="4"/>
        <v>0</v>
      </c>
      <c r="J32" s="140"/>
      <c r="K32" s="143">
        <v>0</v>
      </c>
      <c r="L32" s="140"/>
      <c r="M32" s="238">
        <v>0</v>
      </c>
      <c r="N32" s="44"/>
      <c r="O32" s="126">
        <f t="shared" si="5"/>
        <v>0</v>
      </c>
      <c r="Q32" s="45">
        <f t="shared" si="6"/>
        <v>0</v>
      </c>
    </row>
    <row r="33" spans="1:17" ht="13.5" customHeight="1" x14ac:dyDescent="0.25">
      <c r="A33" s="40" t="s">
        <v>147</v>
      </c>
      <c r="B33" s="70" t="s">
        <v>490</v>
      </c>
      <c r="C33" s="69">
        <v>505750</v>
      </c>
      <c r="D33" s="69"/>
      <c r="E33" s="71" t="str">
        <f t="shared" si="0"/>
        <v>00109080505750</v>
      </c>
      <c r="G33" s="34">
        <f t="shared" si="3"/>
        <v>0</v>
      </c>
      <c r="H33" s="144"/>
      <c r="I33" s="34">
        <f t="shared" si="4"/>
        <v>0</v>
      </c>
      <c r="J33" s="144"/>
      <c r="K33" s="145">
        <v>2500</v>
      </c>
      <c r="L33" s="144"/>
      <c r="M33" s="237">
        <v>2500</v>
      </c>
      <c r="N33" s="145"/>
      <c r="O33" s="126">
        <f t="shared" si="5"/>
        <v>2500</v>
      </c>
      <c r="Q33" s="45">
        <f t="shared" si="6"/>
        <v>2500</v>
      </c>
    </row>
    <row r="34" spans="1:17" ht="13.5" customHeight="1" x14ac:dyDescent="0.25">
      <c r="A34" s="40" t="s">
        <v>74</v>
      </c>
      <c r="B34" s="70" t="s">
        <v>490</v>
      </c>
      <c r="C34" s="69">
        <v>505801</v>
      </c>
      <c r="D34" s="69"/>
      <c r="E34" s="71" t="str">
        <f t="shared" si="0"/>
        <v>00109080505801</v>
      </c>
      <c r="G34" s="34">
        <f>ROUND(IFERROR(VLOOKUP(_xlfn.CONCAT($B34,$C34,$D34),$A$45:$C$9994,3,FALSE),0),0)-1</f>
        <v>1538</v>
      </c>
      <c r="H34" s="140"/>
      <c r="I34" s="34">
        <f t="shared" si="4"/>
        <v>0</v>
      </c>
      <c r="J34" s="140"/>
      <c r="K34" s="145">
        <v>0</v>
      </c>
      <c r="L34" s="140"/>
      <c r="M34" s="237">
        <v>0</v>
      </c>
      <c r="N34" s="126"/>
      <c r="O34" s="145">
        <f t="shared" si="5"/>
        <v>0</v>
      </c>
      <c r="Q34" s="45">
        <f t="shared" si="6"/>
        <v>0</v>
      </c>
    </row>
    <row r="35" spans="1:17" ht="13.5" customHeight="1" x14ac:dyDescent="0.25">
      <c r="A35" s="40"/>
      <c r="B35" s="70"/>
      <c r="C35" s="69"/>
      <c r="D35" s="69"/>
      <c r="E35" s="94"/>
      <c r="G35" s="145"/>
      <c r="H35" s="140"/>
      <c r="I35" s="145"/>
      <c r="J35" s="140"/>
      <c r="K35" s="145"/>
      <c r="L35" s="140"/>
      <c r="M35" s="72"/>
      <c r="N35" s="126"/>
      <c r="O35" s="145"/>
      <c r="Q35" s="45"/>
    </row>
    <row r="36" spans="1:17" ht="24" customHeight="1" x14ac:dyDescent="0.25">
      <c r="A36" s="49" t="s">
        <v>75</v>
      </c>
      <c r="B36" s="50"/>
      <c r="F36" s="42" t="s">
        <v>19</v>
      </c>
      <c r="G36" s="142">
        <f>SUM(G17:G35)</f>
        <v>39839</v>
      </c>
      <c r="H36" s="42" t="s">
        <v>19</v>
      </c>
      <c r="I36" s="142">
        <f>SUM(I17:I35)</f>
        <v>38982</v>
      </c>
      <c r="J36" s="42" t="s">
        <v>19</v>
      </c>
      <c r="K36" s="142">
        <f>SUM(K17:K35)</f>
        <v>51300</v>
      </c>
      <c r="L36" s="42" t="s">
        <v>19</v>
      </c>
      <c r="M36" s="142">
        <f>SUM(M17:M35)</f>
        <v>51300</v>
      </c>
      <c r="N36" s="42" t="s">
        <v>19</v>
      </c>
      <c r="O36" s="142">
        <f>SUM(O17:O35)</f>
        <v>51300</v>
      </c>
      <c r="P36" s="42" t="s">
        <v>19</v>
      </c>
      <c r="Q36" s="142">
        <f>SUM(Q17:Q35)</f>
        <v>51300</v>
      </c>
    </row>
    <row r="37" spans="1:17" ht="24" customHeight="1" thickBot="1" x14ac:dyDescent="0.3">
      <c r="A37" s="99" t="s">
        <v>76</v>
      </c>
      <c r="F37" s="42" t="s">
        <v>19</v>
      </c>
      <c r="G37" s="146">
        <f>+G15+G36</f>
        <v>96953</v>
      </c>
      <c r="H37" s="42" t="s">
        <v>19</v>
      </c>
      <c r="I37" s="146">
        <f>+I15+I36</f>
        <v>92383</v>
      </c>
      <c r="J37" s="42" t="s">
        <v>19</v>
      </c>
      <c r="K37" s="146">
        <f>+K15+K36</f>
        <v>75521</v>
      </c>
      <c r="L37" s="42" t="s">
        <v>19</v>
      </c>
      <c r="M37" s="146">
        <f>+M15+M36</f>
        <v>75521</v>
      </c>
      <c r="N37" s="42" t="s">
        <v>19</v>
      </c>
      <c r="O37" s="146">
        <f>+O15+O36</f>
        <v>75521</v>
      </c>
      <c r="P37" s="42" t="s">
        <v>19</v>
      </c>
      <c r="Q37" s="146">
        <f>+Q15+Q36</f>
        <v>75521</v>
      </c>
    </row>
    <row r="38" spans="1:17" ht="15.75" thickTop="1" x14ac:dyDescent="0.25">
      <c r="A38" s="16"/>
      <c r="B38" s="17"/>
      <c r="C38" s="16"/>
      <c r="D38" s="16"/>
      <c r="E38" s="5"/>
      <c r="F38" s="6"/>
      <c r="G38" s="36"/>
      <c r="H38" s="6"/>
      <c r="I38" s="36"/>
      <c r="J38" s="6"/>
      <c r="K38" s="36"/>
      <c r="L38" s="6"/>
      <c r="M38" s="36"/>
      <c r="N38" s="53"/>
      <c r="O38" s="36"/>
      <c r="P38" s="15"/>
      <c r="Q38" s="36"/>
    </row>
    <row r="39" spans="1:17" ht="18" hidden="1" customHeight="1" x14ac:dyDescent="0.25">
      <c r="C39" s="16"/>
      <c r="D39" s="16"/>
      <c r="E39" s="5"/>
      <c r="F39" s="6"/>
      <c r="G39" s="36"/>
      <c r="H39" s="6"/>
      <c r="I39" s="36"/>
      <c r="J39" s="6"/>
      <c r="K39" s="36"/>
      <c r="L39" s="6"/>
      <c r="M39" s="36"/>
      <c r="N39" s="53"/>
      <c r="O39" s="36"/>
      <c r="P39" s="15"/>
      <c r="Q39" s="36"/>
    </row>
    <row r="40" spans="1:17" hidden="1" x14ac:dyDescent="0.25">
      <c r="A40" s="28" t="s">
        <v>77</v>
      </c>
      <c r="G40" s="76">
        <v>96953</v>
      </c>
      <c r="I40" s="76">
        <v>92383</v>
      </c>
      <c r="J40" s="6"/>
      <c r="K40" s="36"/>
      <c r="L40" s="6"/>
      <c r="M40" s="36"/>
      <c r="N40" s="53"/>
      <c r="O40" s="36"/>
      <c r="P40" s="15"/>
      <c r="Q40" s="36"/>
    </row>
    <row r="41" spans="1:17" hidden="1" x14ac:dyDescent="0.25">
      <c r="A41" s="28" t="s">
        <v>78</v>
      </c>
      <c r="G41" s="44">
        <f>G37-G40</f>
        <v>0</v>
      </c>
      <c r="H41" s="43"/>
      <c r="I41" s="44">
        <f>I37-I40</f>
        <v>0</v>
      </c>
      <c r="J41" s="6"/>
      <c r="K41" s="36"/>
      <c r="L41" s="6"/>
      <c r="M41" s="36"/>
      <c r="N41" s="53"/>
      <c r="O41" s="36"/>
      <c r="P41" s="15"/>
      <c r="Q41" s="36"/>
    </row>
    <row r="42" spans="1:17" hidden="1" x14ac:dyDescent="0.25">
      <c r="A42" s="16"/>
      <c r="B42" s="17"/>
      <c r="C42" s="16"/>
      <c r="D42" s="16"/>
      <c r="E42" s="5"/>
      <c r="F42" s="6"/>
      <c r="G42" s="36"/>
      <c r="H42" s="6"/>
      <c r="I42" s="36"/>
      <c r="J42" s="6"/>
      <c r="K42" s="36"/>
      <c r="L42" s="6"/>
      <c r="M42" s="36"/>
      <c r="N42" s="53"/>
      <c r="O42" s="36"/>
      <c r="P42" s="15"/>
      <c r="Q42" s="36"/>
    </row>
    <row r="43" spans="1:17" hidden="1" x14ac:dyDescent="0.25">
      <c r="A43" s="16"/>
      <c r="B43" s="17"/>
      <c r="C43" s="16"/>
      <c r="D43" s="16"/>
      <c r="E43" s="5"/>
      <c r="F43" s="6"/>
      <c r="G43" s="36"/>
      <c r="H43" s="6"/>
      <c r="I43" s="36"/>
      <c r="J43" s="6"/>
      <c r="K43" s="36"/>
      <c r="L43" s="6"/>
      <c r="M43" s="36"/>
      <c r="N43" s="53"/>
      <c r="O43" s="36"/>
      <c r="P43" s="15"/>
      <c r="Q43" s="36"/>
    </row>
    <row r="44" spans="1:17" hidden="1" x14ac:dyDescent="0.25">
      <c r="A44" s="16"/>
      <c r="B44" s="17" t="s">
        <v>79</v>
      </c>
      <c r="C44" s="16" t="s">
        <v>80</v>
      </c>
      <c r="D44" s="16"/>
      <c r="E44" s="5"/>
      <c r="F44" s="6"/>
      <c r="G44" s="77" t="s">
        <v>81</v>
      </c>
      <c r="H44" s="6"/>
      <c r="I44" s="36"/>
      <c r="J44" s="6"/>
      <c r="K44" s="36"/>
      <c r="L44" s="6"/>
      <c r="M44" s="36"/>
      <c r="N44" s="53"/>
      <c r="O44" s="36"/>
      <c r="P44" s="15"/>
      <c r="Q44" s="36"/>
    </row>
    <row r="45" spans="1:17" hidden="1" x14ac:dyDescent="0.25">
      <c r="A45" s="16" t="s">
        <v>499</v>
      </c>
      <c r="B45" s="17">
        <v>0</v>
      </c>
      <c r="C45" s="16">
        <v>0</v>
      </c>
      <c r="D45" s="16"/>
      <c r="E45" s="5"/>
      <c r="F45" s="6"/>
      <c r="G45" s="15" t="e">
        <f>VLOOKUP(A45,E:E,1,FALSE)</f>
        <v>#N/A</v>
      </c>
      <c r="H45" s="6"/>
      <c r="I45" s="36"/>
      <c r="J45" s="6"/>
      <c r="K45" s="36"/>
      <c r="L45" s="6"/>
      <c r="M45" s="36"/>
      <c r="N45" s="53"/>
      <c r="O45" s="36"/>
      <c r="P45" s="15"/>
      <c r="Q45" s="36"/>
    </row>
    <row r="46" spans="1:17" hidden="1" x14ac:dyDescent="0.25">
      <c r="A46" s="15" t="s">
        <v>500</v>
      </c>
      <c r="B46" s="29">
        <v>0</v>
      </c>
      <c r="C46" s="15">
        <v>0</v>
      </c>
      <c r="G46" s="15" t="str">
        <f t="shared" ref="G46:G67" si="7">VLOOKUP(A46,E:E,1,FALSE)</f>
        <v>00109080501300</v>
      </c>
      <c r="I46" s="45"/>
      <c r="O46" s="15"/>
      <c r="P46" s="15"/>
    </row>
    <row r="47" spans="1:17" hidden="1" x14ac:dyDescent="0.25">
      <c r="A47" s="15" t="s">
        <v>501</v>
      </c>
      <c r="B47" s="29">
        <v>49606.48</v>
      </c>
      <c r="C47" s="15">
        <v>53055.03</v>
      </c>
      <c r="G47" s="15" t="str">
        <f t="shared" si="7"/>
        <v>00109080501305</v>
      </c>
      <c r="I47" s="15"/>
      <c r="O47" s="15"/>
      <c r="P47" s="15"/>
    </row>
    <row r="48" spans="1:17" hidden="1" x14ac:dyDescent="0.25">
      <c r="A48" s="15" t="s">
        <v>502</v>
      </c>
      <c r="B48" s="29">
        <v>0</v>
      </c>
      <c r="C48" s="15">
        <v>0</v>
      </c>
      <c r="G48" s="15" t="e">
        <f t="shared" si="7"/>
        <v>#N/A</v>
      </c>
      <c r="K48" s="44"/>
      <c r="M48" s="44"/>
      <c r="O48" s="44"/>
      <c r="P48" s="15"/>
      <c r="Q48" s="44"/>
    </row>
    <row r="49" spans="1:17" hidden="1" x14ac:dyDescent="0.25">
      <c r="A49" s="15" t="s">
        <v>503</v>
      </c>
      <c r="B49" s="29">
        <v>3795.11</v>
      </c>
      <c r="C49" s="15">
        <v>4058.94</v>
      </c>
      <c r="G49" s="15" t="str">
        <f t="shared" si="7"/>
        <v>00109080502100</v>
      </c>
      <c r="H49" s="143"/>
      <c r="I49" s="143"/>
      <c r="J49" s="143"/>
      <c r="K49" s="86"/>
      <c r="L49" s="143"/>
      <c r="M49" s="86"/>
      <c r="Q49" s="86"/>
    </row>
    <row r="50" spans="1:17" hidden="1" x14ac:dyDescent="0.25">
      <c r="A50" s="15" t="s">
        <v>504</v>
      </c>
      <c r="B50" s="29">
        <v>0</v>
      </c>
      <c r="C50" s="15">
        <v>0</v>
      </c>
      <c r="G50" s="15" t="e">
        <f t="shared" si="7"/>
        <v>#N/A</v>
      </c>
      <c r="H50" s="143"/>
      <c r="I50" s="143"/>
      <c r="J50" s="143"/>
      <c r="K50" s="86"/>
      <c r="L50" s="143"/>
      <c r="M50" s="86"/>
      <c r="Q50" s="86"/>
    </row>
    <row r="51" spans="1:17" hidden="1" x14ac:dyDescent="0.25">
      <c r="A51" s="15" t="s">
        <v>505</v>
      </c>
      <c r="B51" s="29">
        <v>6800</v>
      </c>
      <c r="C51" s="15">
        <v>6800</v>
      </c>
      <c r="G51" s="15" t="str">
        <f t="shared" si="7"/>
        <v>00109080504310</v>
      </c>
      <c r="K51" s="86"/>
      <c r="M51" s="86"/>
      <c r="Q51" s="86"/>
    </row>
    <row r="52" spans="1:17" hidden="1" x14ac:dyDescent="0.25">
      <c r="A52" s="15" t="s">
        <v>506</v>
      </c>
      <c r="B52" s="29">
        <v>466</v>
      </c>
      <c r="C52" s="15">
        <v>0</v>
      </c>
      <c r="G52" s="15" t="str">
        <f t="shared" si="7"/>
        <v>00109080504450</v>
      </c>
      <c r="K52" s="86"/>
      <c r="M52" s="86"/>
      <c r="Q52" s="86"/>
    </row>
    <row r="53" spans="1:17" hidden="1" x14ac:dyDescent="0.25">
      <c r="A53" s="15" t="s">
        <v>507</v>
      </c>
      <c r="B53" s="29">
        <v>19340</v>
      </c>
      <c r="C53" s="15">
        <v>20206</v>
      </c>
      <c r="G53" s="15" t="str">
        <f t="shared" si="7"/>
        <v>00109080504601</v>
      </c>
      <c r="K53" s="86"/>
      <c r="M53" s="86"/>
      <c r="Q53" s="86"/>
    </row>
    <row r="54" spans="1:17" hidden="1" x14ac:dyDescent="0.25">
      <c r="A54" s="15" t="s">
        <v>508</v>
      </c>
      <c r="B54" s="29">
        <v>0</v>
      </c>
      <c r="C54" s="15">
        <v>8279.0400000000009</v>
      </c>
      <c r="G54" s="15" t="str">
        <f t="shared" si="7"/>
        <v>00109080504610</v>
      </c>
      <c r="K54" s="86"/>
      <c r="M54" s="86"/>
      <c r="Q54" s="86"/>
    </row>
    <row r="55" spans="1:17" hidden="1" x14ac:dyDescent="0.25">
      <c r="A55" s="15" t="s">
        <v>509</v>
      </c>
      <c r="B55" s="29">
        <v>11079.5</v>
      </c>
      <c r="C55" s="15">
        <v>1817.5</v>
      </c>
      <c r="G55" s="15" t="str">
        <f t="shared" si="7"/>
        <v>00109080504620</v>
      </c>
      <c r="M55" s="86"/>
      <c r="Q55" s="86"/>
    </row>
    <row r="56" spans="1:17" hidden="1" x14ac:dyDescent="0.25">
      <c r="A56" s="15" t="s">
        <v>510</v>
      </c>
      <c r="B56" s="29">
        <v>0</v>
      </c>
      <c r="C56" s="15">
        <v>982.31</v>
      </c>
      <c r="G56" s="15" t="str">
        <f t="shared" si="7"/>
        <v>00109080504683</v>
      </c>
      <c r="M56" s="86"/>
      <c r="Q56" s="86"/>
    </row>
    <row r="57" spans="1:17" hidden="1" x14ac:dyDescent="0.25">
      <c r="A57" s="15" t="s">
        <v>511</v>
      </c>
      <c r="B57" s="29">
        <v>1296</v>
      </c>
      <c r="C57" s="15">
        <v>55.66</v>
      </c>
      <c r="G57" s="15" t="str">
        <f t="shared" si="7"/>
        <v>00109080504699</v>
      </c>
      <c r="M57" s="86"/>
      <c r="Q57" s="86"/>
    </row>
    <row r="58" spans="1:17" hidden="1" x14ac:dyDescent="0.25">
      <c r="A58" s="15" t="s">
        <v>512</v>
      </c>
      <c r="B58" s="29">
        <v>0</v>
      </c>
      <c r="C58" s="15">
        <v>0</v>
      </c>
      <c r="G58" s="15" t="e">
        <f t="shared" si="7"/>
        <v>#N/A</v>
      </c>
      <c r="M58" s="86"/>
      <c r="Q58" s="86"/>
    </row>
    <row r="59" spans="1:17" hidden="1" x14ac:dyDescent="0.25">
      <c r="A59" s="15" t="s">
        <v>513</v>
      </c>
      <c r="B59" s="29">
        <v>0</v>
      </c>
      <c r="C59" s="15">
        <v>159.99</v>
      </c>
      <c r="G59" s="15" t="str">
        <f t="shared" si="7"/>
        <v>00109080505201</v>
      </c>
      <c r="M59" s="86"/>
      <c r="Q59" s="86"/>
    </row>
    <row r="60" spans="1:17" hidden="1" x14ac:dyDescent="0.25">
      <c r="A60" s="15" t="s">
        <v>514</v>
      </c>
      <c r="B60" s="29">
        <v>0</v>
      </c>
      <c r="C60" s="15">
        <v>0</v>
      </c>
      <c r="G60" s="15" t="str">
        <f t="shared" si="7"/>
        <v>00109080505505</v>
      </c>
      <c r="M60" s="86"/>
      <c r="Q60" s="86"/>
    </row>
    <row r="61" spans="1:17" hidden="1" x14ac:dyDescent="0.25">
      <c r="A61" s="15" t="s">
        <v>515</v>
      </c>
      <c r="B61" s="29">
        <v>0</v>
      </c>
      <c r="C61" s="15">
        <v>0</v>
      </c>
      <c r="G61" s="15" t="e">
        <f t="shared" si="7"/>
        <v>#N/A</v>
      </c>
      <c r="M61" s="86"/>
      <c r="Q61" s="86"/>
    </row>
    <row r="62" spans="1:17" hidden="1" x14ac:dyDescent="0.25">
      <c r="A62" s="15" t="s">
        <v>516</v>
      </c>
      <c r="B62" s="29">
        <v>0</v>
      </c>
      <c r="C62" s="15">
        <v>0</v>
      </c>
      <c r="G62" s="15" t="str">
        <f t="shared" si="7"/>
        <v>00109080505750</v>
      </c>
      <c r="M62" s="86"/>
      <c r="Q62" s="86"/>
    </row>
    <row r="63" spans="1:17" hidden="1" x14ac:dyDescent="0.25">
      <c r="A63" s="15" t="s">
        <v>517</v>
      </c>
      <c r="B63" s="29">
        <v>0</v>
      </c>
      <c r="C63" s="15">
        <v>1538.73</v>
      </c>
      <c r="G63" s="15" t="str">
        <f t="shared" si="7"/>
        <v>00109080505801</v>
      </c>
      <c r="M63" s="86"/>
      <c r="Q63" s="86"/>
    </row>
    <row r="64" spans="1:17" hidden="1" x14ac:dyDescent="0.25">
      <c r="A64" s="15" t="s">
        <v>518</v>
      </c>
      <c r="B64" s="29">
        <v>0</v>
      </c>
      <c r="C64" s="15">
        <v>0</v>
      </c>
      <c r="G64" s="15" t="e">
        <f t="shared" si="7"/>
        <v>#N/A</v>
      </c>
      <c r="M64" s="86"/>
      <c r="Q64" s="86"/>
    </row>
    <row r="65" spans="1:17" hidden="1" x14ac:dyDescent="0.25">
      <c r="A65" s="15" t="s">
        <v>519</v>
      </c>
      <c r="B65" s="29">
        <v>0</v>
      </c>
      <c r="C65" s="15">
        <v>0</v>
      </c>
      <c r="G65" s="15" t="e">
        <f t="shared" si="7"/>
        <v>#N/A</v>
      </c>
      <c r="M65" s="86"/>
      <c r="Q65" s="86"/>
    </row>
    <row r="66" spans="1:17" hidden="1" x14ac:dyDescent="0.25">
      <c r="A66" s="15" t="s">
        <v>520</v>
      </c>
      <c r="B66" s="29">
        <v>0</v>
      </c>
      <c r="C66" s="15">
        <v>0</v>
      </c>
      <c r="G66" s="15" t="e">
        <f t="shared" si="7"/>
        <v>#N/A</v>
      </c>
      <c r="M66" s="86"/>
      <c r="Q66" s="86"/>
    </row>
    <row r="67" spans="1:17" hidden="1" x14ac:dyDescent="0.25">
      <c r="A67" s="15" t="s">
        <v>521</v>
      </c>
      <c r="B67" s="29">
        <v>0</v>
      </c>
      <c r="C67" s="15">
        <v>0</v>
      </c>
      <c r="G67" s="15" t="e">
        <f t="shared" si="7"/>
        <v>#N/A</v>
      </c>
      <c r="M67" s="86"/>
      <c r="Q67" s="86"/>
    </row>
    <row r="68" spans="1:17" hidden="1" x14ac:dyDescent="0.25">
      <c r="M68" s="86"/>
      <c r="Q68" s="86"/>
    </row>
    <row r="69" spans="1:17" x14ac:dyDescent="0.25">
      <c r="M69" s="86"/>
      <c r="Q69" s="86"/>
    </row>
    <row r="70" spans="1:17" x14ac:dyDescent="0.25">
      <c r="M70" s="86"/>
      <c r="Q70" s="86"/>
    </row>
    <row r="71" spans="1:17" x14ac:dyDescent="0.25">
      <c r="M71" s="86"/>
      <c r="Q71" s="86"/>
    </row>
    <row r="72" spans="1:17" x14ac:dyDescent="0.25">
      <c r="M72" s="86"/>
      <c r="Q72" s="86"/>
    </row>
    <row r="73" spans="1:17" x14ac:dyDescent="0.25">
      <c r="M73" s="86"/>
      <c r="Q73" s="86"/>
    </row>
    <row r="74" spans="1:17" x14ac:dyDescent="0.25">
      <c r="M74" s="86"/>
      <c r="Q74" s="86"/>
    </row>
    <row r="75" spans="1:17" x14ac:dyDescent="0.25">
      <c r="M75" s="86"/>
      <c r="Q75" s="86"/>
    </row>
    <row r="76" spans="1:17" x14ac:dyDescent="0.25">
      <c r="M76" s="86"/>
      <c r="Q76" s="86"/>
    </row>
    <row r="77" spans="1:17" x14ac:dyDescent="0.25">
      <c r="M77" s="86"/>
      <c r="Q77" s="86"/>
    </row>
    <row r="78" spans="1:17" x14ac:dyDescent="0.25">
      <c r="M78" s="86"/>
      <c r="Q78" s="86"/>
    </row>
    <row r="79" spans="1:17" x14ac:dyDescent="0.25">
      <c r="M79" s="86"/>
      <c r="Q79" s="86"/>
    </row>
    <row r="80" spans="1:17" x14ac:dyDescent="0.25">
      <c r="M80" s="86"/>
      <c r="Q80" s="86"/>
    </row>
    <row r="81" spans="13:17" x14ac:dyDescent="0.25">
      <c r="M81" s="86"/>
      <c r="Q81" s="86"/>
    </row>
    <row r="82" spans="13:17" x14ac:dyDescent="0.25">
      <c r="M82" s="86"/>
      <c r="Q82" s="86"/>
    </row>
    <row r="83" spans="13:17" x14ac:dyDescent="0.25">
      <c r="M83" s="86"/>
      <c r="Q83" s="86"/>
    </row>
    <row r="84" spans="13:17" x14ac:dyDescent="0.25">
      <c r="M84" s="86"/>
      <c r="Q84" s="86"/>
    </row>
    <row r="85" spans="13:17" x14ac:dyDescent="0.25">
      <c r="M85" s="86"/>
      <c r="Q85" s="86"/>
    </row>
    <row r="86" spans="13:17" x14ac:dyDescent="0.25">
      <c r="M86" s="86"/>
      <c r="Q86" s="86"/>
    </row>
    <row r="87" spans="13:17" x14ac:dyDescent="0.25">
      <c r="M87" s="86"/>
      <c r="Q87" s="86"/>
    </row>
    <row r="88" spans="13:17" x14ac:dyDescent="0.25">
      <c r="M88" s="86"/>
      <c r="Q88" s="86"/>
    </row>
    <row r="89" spans="13:17" x14ac:dyDescent="0.25">
      <c r="M89" s="86"/>
      <c r="Q89" s="86"/>
    </row>
    <row r="90" spans="13:17" x14ac:dyDescent="0.25">
      <c r="M90" s="86"/>
      <c r="Q90" s="86"/>
    </row>
    <row r="91" spans="13:17" x14ac:dyDescent="0.25">
      <c r="M91" s="86"/>
      <c r="Q91" s="86"/>
    </row>
    <row r="92" spans="13:17" x14ac:dyDescent="0.25">
      <c r="M92" s="86"/>
      <c r="Q92" s="86"/>
    </row>
    <row r="93" spans="13:17" x14ac:dyDescent="0.25">
      <c r="M93" s="86"/>
      <c r="Q93" s="86"/>
    </row>
    <row r="94" spans="13:17" x14ac:dyDescent="0.25">
      <c r="M94" s="86"/>
      <c r="Q94" s="86"/>
    </row>
    <row r="95" spans="13:17" x14ac:dyDescent="0.25">
      <c r="M95" s="86"/>
      <c r="Q95" s="86"/>
    </row>
    <row r="96" spans="13:17" x14ac:dyDescent="0.25">
      <c r="M96" s="86"/>
      <c r="Q96" s="86"/>
    </row>
    <row r="97" spans="13:17" x14ac:dyDescent="0.25">
      <c r="M97" s="86"/>
      <c r="Q97" s="86"/>
    </row>
    <row r="98" spans="13:17" x14ac:dyDescent="0.25">
      <c r="M98" s="86"/>
      <c r="Q98" s="86"/>
    </row>
    <row r="99" spans="13:17" x14ac:dyDescent="0.25">
      <c r="M99" s="86"/>
      <c r="Q99" s="86"/>
    </row>
    <row r="100" spans="13:17" x14ac:dyDescent="0.25">
      <c r="M100" s="86"/>
      <c r="Q100" s="86"/>
    </row>
    <row r="101" spans="13:17" x14ac:dyDescent="0.25">
      <c r="M101" s="86"/>
      <c r="Q101" s="86"/>
    </row>
    <row r="102" spans="13:17" x14ac:dyDescent="0.25">
      <c r="M102" s="86"/>
      <c r="Q102" s="86"/>
    </row>
    <row r="103" spans="13:17" x14ac:dyDescent="0.25">
      <c r="M103" s="86"/>
      <c r="Q103" s="86"/>
    </row>
    <row r="104" spans="13:17" x14ac:dyDescent="0.25">
      <c r="M104" s="86"/>
      <c r="Q104" s="86"/>
    </row>
    <row r="105" spans="13:17" x14ac:dyDescent="0.25">
      <c r="M105" s="86"/>
      <c r="Q105" s="86"/>
    </row>
    <row r="106" spans="13:17" x14ac:dyDescent="0.25">
      <c r="M106" s="86"/>
      <c r="Q106" s="86"/>
    </row>
    <row r="107" spans="13:17" x14ac:dyDescent="0.25">
      <c r="M107" s="86"/>
      <c r="Q107" s="86"/>
    </row>
    <row r="108" spans="13:17" x14ac:dyDescent="0.25">
      <c r="M108" s="86"/>
      <c r="Q108" s="86"/>
    </row>
    <row r="109" spans="13:17" x14ac:dyDescent="0.25">
      <c r="M109" s="86"/>
      <c r="Q109" s="86"/>
    </row>
    <row r="110" spans="13:17" x14ac:dyDescent="0.25">
      <c r="M110" s="86"/>
      <c r="Q110" s="86"/>
    </row>
    <row r="111" spans="13:17" x14ac:dyDescent="0.25">
      <c r="M111" s="86"/>
      <c r="Q111" s="86"/>
    </row>
    <row r="112" spans="13:17" x14ac:dyDescent="0.25">
      <c r="M112" s="86"/>
      <c r="Q112" s="86"/>
    </row>
    <row r="113" spans="13:17" x14ac:dyDescent="0.25">
      <c r="M113" s="86"/>
      <c r="Q113" s="86"/>
    </row>
    <row r="114" spans="13:17" x14ac:dyDescent="0.25">
      <c r="M114" s="86"/>
      <c r="Q114" s="86"/>
    </row>
    <row r="115" spans="13:17" x14ac:dyDescent="0.25">
      <c r="M115" s="86"/>
      <c r="Q115" s="86"/>
    </row>
    <row r="116" spans="13:17" x14ac:dyDescent="0.25">
      <c r="M116" s="86"/>
      <c r="Q116" s="86"/>
    </row>
    <row r="117" spans="13:17" x14ac:dyDescent="0.25">
      <c r="M117" s="86"/>
      <c r="Q117" s="86"/>
    </row>
    <row r="118" spans="13:17" x14ac:dyDescent="0.25">
      <c r="M118" s="86"/>
      <c r="Q118" s="86"/>
    </row>
    <row r="119" spans="13:17" x14ac:dyDescent="0.25">
      <c r="M119" s="86"/>
      <c r="Q119" s="86"/>
    </row>
    <row r="120" spans="13:17" x14ac:dyDescent="0.25">
      <c r="M120" s="86"/>
      <c r="Q120" s="86"/>
    </row>
    <row r="121" spans="13:17" x14ac:dyDescent="0.25">
      <c r="M121" s="86"/>
      <c r="Q121" s="86"/>
    </row>
    <row r="122" spans="13:17" x14ac:dyDescent="0.25">
      <c r="M122" s="86"/>
      <c r="Q122" s="86"/>
    </row>
    <row r="123" spans="13:17" x14ac:dyDescent="0.25">
      <c r="M123" s="86"/>
      <c r="Q123" s="86"/>
    </row>
    <row r="124" spans="13:17" x14ac:dyDescent="0.25">
      <c r="M124" s="86"/>
      <c r="Q124" s="86"/>
    </row>
    <row r="125" spans="13:17" x14ac:dyDescent="0.25">
      <c r="M125" s="86"/>
      <c r="Q125" s="86"/>
    </row>
    <row r="126" spans="13:17" x14ac:dyDescent="0.25">
      <c r="M126" s="86"/>
      <c r="Q126" s="86"/>
    </row>
    <row r="127" spans="13:17" x14ac:dyDescent="0.25">
      <c r="M127" s="86"/>
      <c r="Q127" s="86"/>
    </row>
    <row r="128" spans="13:17" x14ac:dyDescent="0.25">
      <c r="M128" s="86"/>
      <c r="Q128" s="86"/>
    </row>
    <row r="129" spans="13:17" x14ac:dyDescent="0.25">
      <c r="M129" s="86"/>
      <c r="Q129" s="86"/>
    </row>
    <row r="130" spans="13:17" x14ac:dyDescent="0.25">
      <c r="M130" s="86"/>
      <c r="Q130" s="86"/>
    </row>
    <row r="131" spans="13:17" x14ac:dyDescent="0.25">
      <c r="M131" s="86"/>
      <c r="Q131" s="86"/>
    </row>
    <row r="132" spans="13:17" x14ac:dyDescent="0.25">
      <c r="M132" s="86"/>
      <c r="Q132" s="86"/>
    </row>
    <row r="133" spans="13:17" x14ac:dyDescent="0.25">
      <c r="M133" s="86"/>
      <c r="Q133" s="86"/>
    </row>
    <row r="134" spans="13:17" x14ac:dyDescent="0.25">
      <c r="M134" s="86"/>
      <c r="Q134" s="86"/>
    </row>
    <row r="135" spans="13:17" x14ac:dyDescent="0.25">
      <c r="M135" s="86"/>
      <c r="Q135" s="86"/>
    </row>
    <row r="136" spans="13:17" x14ac:dyDescent="0.25">
      <c r="M136" s="86"/>
      <c r="Q136" s="86"/>
    </row>
    <row r="137" spans="13:17" x14ac:dyDescent="0.25">
      <c r="M137" s="86"/>
      <c r="Q137" s="86"/>
    </row>
    <row r="138" spans="13:17" x14ac:dyDescent="0.25">
      <c r="M138" s="86"/>
      <c r="Q138" s="86"/>
    </row>
    <row r="139" spans="13:17" x14ac:dyDescent="0.25">
      <c r="M139" s="86"/>
      <c r="Q139" s="86"/>
    </row>
    <row r="140" spans="13:17" x14ac:dyDescent="0.25">
      <c r="M140" s="86"/>
      <c r="Q140" s="86"/>
    </row>
    <row r="141" spans="13:17" x14ac:dyDescent="0.25">
      <c r="M141" s="86"/>
      <c r="Q141" s="86"/>
    </row>
    <row r="142" spans="13:17" x14ac:dyDescent="0.25">
      <c r="M142" s="86"/>
      <c r="Q142" s="86"/>
    </row>
    <row r="143" spans="13:17" x14ac:dyDescent="0.25">
      <c r="M143" s="86"/>
      <c r="Q143" s="86"/>
    </row>
    <row r="144" spans="13:17" x14ac:dyDescent="0.25">
      <c r="M144" s="86"/>
      <c r="Q144" s="86"/>
    </row>
    <row r="145" spans="13:17" x14ac:dyDescent="0.25">
      <c r="M145" s="86"/>
      <c r="Q145" s="86"/>
    </row>
    <row r="146" spans="13:17" x14ac:dyDescent="0.25">
      <c r="M146" s="86"/>
      <c r="Q146" s="86"/>
    </row>
    <row r="147" spans="13:17" x14ac:dyDescent="0.25">
      <c r="M147" s="86"/>
      <c r="Q147" s="86"/>
    </row>
    <row r="148" spans="13:17" x14ac:dyDescent="0.25">
      <c r="M148" s="86"/>
      <c r="Q148" s="86"/>
    </row>
    <row r="149" spans="13:17" x14ac:dyDescent="0.25">
      <c r="M149" s="86"/>
      <c r="Q149" s="86"/>
    </row>
    <row r="150" spans="13:17" x14ac:dyDescent="0.25">
      <c r="M150" s="86"/>
      <c r="Q150" s="86"/>
    </row>
    <row r="151" spans="13:17" x14ac:dyDescent="0.25">
      <c r="M151" s="86"/>
      <c r="Q151" s="86"/>
    </row>
    <row r="152" spans="13:17" x14ac:dyDescent="0.25">
      <c r="M152" s="86"/>
      <c r="Q152" s="86"/>
    </row>
    <row r="153" spans="13:17" x14ac:dyDescent="0.25">
      <c r="M153" s="86"/>
      <c r="Q153" s="86"/>
    </row>
    <row r="154" spans="13:17" x14ac:dyDescent="0.25">
      <c r="M154" s="86"/>
      <c r="Q154" s="86"/>
    </row>
    <row r="155" spans="13:17" x14ac:dyDescent="0.25">
      <c r="M155" s="86"/>
      <c r="Q155" s="86"/>
    </row>
    <row r="156" spans="13:17" x14ac:dyDescent="0.25">
      <c r="M156" s="86"/>
      <c r="Q156" s="86"/>
    </row>
    <row r="157" spans="13:17" x14ac:dyDescent="0.25">
      <c r="M157" s="86"/>
      <c r="Q157" s="86"/>
    </row>
    <row r="158" spans="13:17" x14ac:dyDescent="0.25">
      <c r="M158" s="86"/>
      <c r="Q158" s="86"/>
    </row>
    <row r="159" spans="13:17" x14ac:dyDescent="0.25">
      <c r="M159" s="86"/>
      <c r="Q159" s="86"/>
    </row>
    <row r="160" spans="13:17" x14ac:dyDescent="0.25">
      <c r="M160" s="86"/>
      <c r="Q160" s="86"/>
    </row>
    <row r="161" spans="13:17" x14ac:dyDescent="0.25">
      <c r="M161" s="86"/>
      <c r="Q161" s="86"/>
    </row>
    <row r="162" spans="13:17" x14ac:dyDescent="0.25">
      <c r="M162" s="86"/>
      <c r="Q162" s="86"/>
    </row>
    <row r="163" spans="13:17" x14ac:dyDescent="0.25">
      <c r="M163" s="86"/>
      <c r="Q163" s="86"/>
    </row>
    <row r="164" spans="13:17" x14ac:dyDescent="0.25">
      <c r="M164" s="86"/>
      <c r="Q164" s="86"/>
    </row>
    <row r="165" spans="13:17" x14ac:dyDescent="0.25">
      <c r="M165" s="86"/>
      <c r="Q165" s="86"/>
    </row>
    <row r="166" spans="13:17" x14ac:dyDescent="0.25">
      <c r="M166" s="86"/>
      <c r="Q166" s="86"/>
    </row>
    <row r="167" spans="13:17" x14ac:dyDescent="0.25">
      <c r="M167" s="86"/>
      <c r="Q167" s="86"/>
    </row>
    <row r="168" spans="13:17" x14ac:dyDescent="0.25">
      <c r="M168" s="86"/>
      <c r="Q168" s="86"/>
    </row>
    <row r="169" spans="13:17" x14ac:dyDescent="0.25">
      <c r="M169" s="86"/>
      <c r="Q169" s="86"/>
    </row>
    <row r="170" spans="13:17" x14ac:dyDescent="0.25">
      <c r="M170" s="86"/>
      <c r="Q170" s="86"/>
    </row>
    <row r="171" spans="13:17" x14ac:dyDescent="0.25">
      <c r="M171" s="86"/>
      <c r="Q171" s="86"/>
    </row>
    <row r="172" spans="13:17" x14ac:dyDescent="0.25">
      <c r="M172" s="86"/>
      <c r="Q172" s="86"/>
    </row>
    <row r="173" spans="13:17" x14ac:dyDescent="0.25">
      <c r="M173" s="86"/>
      <c r="Q173" s="86"/>
    </row>
    <row r="174" spans="13:17" x14ac:dyDescent="0.25">
      <c r="M174" s="86"/>
      <c r="Q174" s="86"/>
    </row>
    <row r="175" spans="13:17" x14ac:dyDescent="0.25">
      <c r="M175" s="86"/>
      <c r="Q175" s="86"/>
    </row>
    <row r="176" spans="13:17" x14ac:dyDescent="0.25">
      <c r="M176" s="86"/>
      <c r="Q176" s="86"/>
    </row>
    <row r="177" spans="13:17" x14ac:dyDescent="0.25">
      <c r="M177" s="86"/>
      <c r="Q177" s="86"/>
    </row>
    <row r="178" spans="13:17" x14ac:dyDescent="0.25">
      <c r="M178" s="86"/>
      <c r="Q178" s="86"/>
    </row>
    <row r="179" spans="13:17" x14ac:dyDescent="0.25">
      <c r="M179" s="86"/>
      <c r="Q179" s="86"/>
    </row>
    <row r="180" spans="13:17" x14ac:dyDescent="0.25">
      <c r="M180" s="86"/>
      <c r="Q180" s="86"/>
    </row>
    <row r="181" spans="13:17" x14ac:dyDescent="0.25">
      <c r="M181" s="86"/>
      <c r="Q181" s="86"/>
    </row>
    <row r="182" spans="13:17" x14ac:dyDescent="0.25">
      <c r="M182" s="86"/>
      <c r="Q182" s="86"/>
    </row>
    <row r="183" spans="13:17" x14ac:dyDescent="0.25">
      <c r="M183" s="86"/>
      <c r="Q183" s="86"/>
    </row>
    <row r="184" spans="13:17" x14ac:dyDescent="0.25">
      <c r="M184" s="86"/>
      <c r="Q184" s="86"/>
    </row>
    <row r="185" spans="13:17" x14ac:dyDescent="0.25">
      <c r="M185" s="86"/>
      <c r="Q185" s="86"/>
    </row>
    <row r="186" spans="13:17" x14ac:dyDescent="0.25">
      <c r="M186" s="86"/>
      <c r="Q186" s="86"/>
    </row>
    <row r="187" spans="13:17" x14ac:dyDescent="0.25">
      <c r="M187" s="86"/>
      <c r="Q187" s="86"/>
    </row>
    <row r="188" spans="13:17" x14ac:dyDescent="0.25">
      <c r="M188" s="86"/>
      <c r="Q188" s="86"/>
    </row>
    <row r="189" spans="13:17" x14ac:dyDescent="0.25">
      <c r="M189" s="86"/>
      <c r="Q189" s="86"/>
    </row>
    <row r="190" spans="13:17" x14ac:dyDescent="0.25">
      <c r="M190" s="86"/>
      <c r="Q190" s="86"/>
    </row>
    <row r="191" spans="13:17" x14ac:dyDescent="0.25">
      <c r="M191" s="86"/>
      <c r="Q191" s="86"/>
    </row>
    <row r="192" spans="13:17" x14ac:dyDescent="0.25">
      <c r="M192" s="86"/>
      <c r="Q192" s="86"/>
    </row>
    <row r="193" spans="13:17" x14ac:dyDescent="0.25">
      <c r="M193" s="86"/>
      <c r="Q193" s="86"/>
    </row>
    <row r="194" spans="13:17" x14ac:dyDescent="0.25">
      <c r="M194" s="86"/>
      <c r="Q194" s="86"/>
    </row>
    <row r="195" spans="13:17" x14ac:dyDescent="0.25">
      <c r="M195" s="86"/>
      <c r="Q195" s="86"/>
    </row>
    <row r="196" spans="13:17" x14ac:dyDescent="0.25">
      <c r="M196" s="86"/>
      <c r="Q196" s="86"/>
    </row>
    <row r="197" spans="13:17" x14ac:dyDescent="0.25">
      <c r="M197" s="86"/>
      <c r="Q197" s="86"/>
    </row>
    <row r="198" spans="13:17" x14ac:dyDescent="0.25">
      <c r="M198" s="86"/>
      <c r="Q198" s="86"/>
    </row>
    <row r="199" spans="13:17" x14ac:dyDescent="0.25">
      <c r="M199" s="86"/>
      <c r="Q199" s="86"/>
    </row>
    <row r="200" spans="13:17" x14ac:dyDescent="0.25">
      <c r="M200" s="86"/>
      <c r="Q200" s="86"/>
    </row>
    <row r="201" spans="13:17" x14ac:dyDescent="0.25">
      <c r="M201" s="86"/>
      <c r="Q201" s="86"/>
    </row>
    <row r="202" spans="13:17" x14ac:dyDescent="0.25">
      <c r="M202" s="86"/>
      <c r="Q202" s="86"/>
    </row>
    <row r="203" spans="13:17" x14ac:dyDescent="0.25">
      <c r="M203" s="86"/>
      <c r="Q203" s="86"/>
    </row>
    <row r="204" spans="13:17" x14ac:dyDescent="0.25">
      <c r="M204" s="86"/>
      <c r="Q204" s="86"/>
    </row>
    <row r="205" spans="13:17" x14ac:dyDescent="0.25">
      <c r="M205" s="86"/>
      <c r="Q205" s="86"/>
    </row>
    <row r="206" spans="13:17" x14ac:dyDescent="0.25">
      <c r="M206" s="86"/>
      <c r="Q206" s="86"/>
    </row>
    <row r="207" spans="13:17" x14ac:dyDescent="0.25">
      <c r="M207" s="86"/>
      <c r="Q207" s="86"/>
    </row>
    <row r="208" spans="13:17" x14ac:dyDescent="0.25">
      <c r="M208" s="86"/>
      <c r="Q208" s="86"/>
    </row>
    <row r="209" spans="13:17" x14ac:dyDescent="0.25">
      <c r="M209" s="86"/>
      <c r="Q209" s="86"/>
    </row>
    <row r="210" spans="13:17" x14ac:dyDescent="0.25">
      <c r="M210" s="86"/>
      <c r="Q210" s="86"/>
    </row>
    <row r="211" spans="13:17" x14ac:dyDescent="0.25">
      <c r="M211" s="86"/>
      <c r="Q211" s="86"/>
    </row>
    <row r="212" spans="13:17" x14ac:dyDescent="0.25">
      <c r="M212" s="86"/>
      <c r="Q212" s="86"/>
    </row>
    <row r="213" spans="13:17" x14ac:dyDescent="0.25">
      <c r="M213" s="86"/>
      <c r="Q213" s="86"/>
    </row>
    <row r="214" spans="13:17" x14ac:dyDescent="0.25">
      <c r="M214" s="86"/>
      <c r="Q214" s="86"/>
    </row>
    <row r="215" spans="13:17" x14ac:dyDescent="0.25">
      <c r="M215" s="86"/>
      <c r="Q215" s="86"/>
    </row>
    <row r="216" spans="13:17" x14ac:dyDescent="0.25">
      <c r="M216" s="86"/>
      <c r="Q216" s="86"/>
    </row>
    <row r="217" spans="13:17" x14ac:dyDescent="0.25">
      <c r="M217" s="86"/>
      <c r="Q217" s="86"/>
    </row>
    <row r="218" spans="13:17" x14ac:dyDescent="0.25">
      <c r="M218" s="86"/>
      <c r="Q218" s="86"/>
    </row>
    <row r="219" spans="13:17" x14ac:dyDescent="0.25">
      <c r="M219" s="86"/>
      <c r="Q219" s="86"/>
    </row>
    <row r="220" spans="13:17" x14ac:dyDescent="0.25">
      <c r="M220" s="86"/>
      <c r="Q220" s="86"/>
    </row>
    <row r="221" spans="13:17" x14ac:dyDescent="0.25">
      <c r="M221" s="86"/>
      <c r="Q221" s="86"/>
    </row>
    <row r="222" spans="13:17" x14ac:dyDescent="0.25">
      <c r="M222" s="86"/>
      <c r="Q222" s="86"/>
    </row>
    <row r="223" spans="13:17" x14ac:dyDescent="0.25">
      <c r="M223" s="86"/>
      <c r="Q223" s="86"/>
    </row>
    <row r="224" spans="13:17" x14ac:dyDescent="0.25">
      <c r="M224" s="86"/>
      <c r="Q224" s="86"/>
    </row>
    <row r="225" spans="13:17" x14ac:dyDescent="0.25">
      <c r="M225" s="86"/>
      <c r="Q225" s="86"/>
    </row>
    <row r="226" spans="13:17" x14ac:dyDescent="0.25">
      <c r="M226" s="86"/>
      <c r="Q226" s="86"/>
    </row>
    <row r="227" spans="13:17" x14ac:dyDescent="0.25">
      <c r="M227" s="86"/>
      <c r="Q227" s="86"/>
    </row>
    <row r="228" spans="13:17" x14ac:dyDescent="0.25">
      <c r="M228" s="86"/>
      <c r="Q228" s="86"/>
    </row>
    <row r="229" spans="13:17" x14ac:dyDescent="0.25">
      <c r="M229" s="86"/>
      <c r="Q229" s="86"/>
    </row>
    <row r="230" spans="13:17" x14ac:dyDescent="0.25">
      <c r="M230" s="86"/>
      <c r="Q230" s="86"/>
    </row>
    <row r="231" spans="13:17" x14ac:dyDescent="0.25">
      <c r="M231" s="86"/>
      <c r="Q231" s="86"/>
    </row>
    <row r="232" spans="13:17" x14ac:dyDescent="0.25">
      <c r="M232" s="86"/>
      <c r="Q232" s="86"/>
    </row>
    <row r="233" spans="13:17" x14ac:dyDescent="0.25">
      <c r="M233" s="86"/>
      <c r="Q233" s="86"/>
    </row>
    <row r="234" spans="13:17" x14ac:dyDescent="0.25">
      <c r="M234" s="86"/>
      <c r="Q234" s="86"/>
    </row>
    <row r="235" spans="13:17" x14ac:dyDescent="0.25">
      <c r="M235" s="86"/>
      <c r="Q235" s="86"/>
    </row>
    <row r="236" spans="13:17" x14ac:dyDescent="0.25">
      <c r="M236" s="86"/>
      <c r="Q236" s="86"/>
    </row>
    <row r="237" spans="13:17" x14ac:dyDescent="0.25">
      <c r="M237" s="86"/>
      <c r="Q237" s="86"/>
    </row>
    <row r="238" spans="13:17" x14ac:dyDescent="0.25">
      <c r="M238" s="86"/>
      <c r="Q238" s="86"/>
    </row>
    <row r="239" spans="13:17" x14ac:dyDescent="0.25">
      <c r="M239" s="86"/>
      <c r="Q239" s="86"/>
    </row>
    <row r="240" spans="13:17" x14ac:dyDescent="0.25">
      <c r="M240" s="86"/>
      <c r="Q240" s="86"/>
    </row>
    <row r="241" spans="13:17" x14ac:dyDescent="0.25">
      <c r="M241" s="86"/>
      <c r="Q241" s="86"/>
    </row>
    <row r="242" spans="13:17" x14ac:dyDescent="0.25">
      <c r="M242" s="86"/>
      <c r="Q242" s="86"/>
    </row>
    <row r="243" spans="13:17" x14ac:dyDescent="0.25">
      <c r="M243" s="86"/>
      <c r="Q243" s="86"/>
    </row>
    <row r="244" spans="13:17" x14ac:dyDescent="0.25">
      <c r="M244" s="86"/>
      <c r="Q244" s="86"/>
    </row>
    <row r="245" spans="13:17" x14ac:dyDescent="0.25">
      <c r="M245" s="86"/>
      <c r="Q245" s="86"/>
    </row>
    <row r="246" spans="13:17" x14ac:dyDescent="0.25">
      <c r="M246" s="86"/>
      <c r="Q246" s="86"/>
    </row>
    <row r="247" spans="13:17" x14ac:dyDescent="0.25">
      <c r="M247" s="86"/>
      <c r="Q247" s="86"/>
    </row>
    <row r="248" spans="13:17" x14ac:dyDescent="0.25">
      <c r="M248" s="86"/>
      <c r="Q248" s="86"/>
    </row>
    <row r="249" spans="13:17" x14ac:dyDescent="0.25">
      <c r="M249" s="86"/>
      <c r="Q249" s="86"/>
    </row>
    <row r="250" spans="13:17" x14ac:dyDescent="0.25">
      <c r="M250" s="86"/>
      <c r="Q250" s="86"/>
    </row>
    <row r="251" spans="13:17" x14ac:dyDescent="0.25">
      <c r="M251" s="86"/>
      <c r="Q251" s="86"/>
    </row>
    <row r="252" spans="13:17" x14ac:dyDescent="0.25">
      <c r="M252" s="86"/>
      <c r="Q252" s="86"/>
    </row>
    <row r="253" spans="13:17" x14ac:dyDescent="0.25">
      <c r="M253" s="86"/>
      <c r="Q253" s="86"/>
    </row>
    <row r="254" spans="13:17" x14ac:dyDescent="0.25">
      <c r="M254" s="86"/>
      <c r="Q254" s="86"/>
    </row>
    <row r="255" spans="13:17" x14ac:dyDescent="0.25">
      <c r="M255" s="86"/>
      <c r="Q255" s="86"/>
    </row>
    <row r="256" spans="13:17" x14ac:dyDescent="0.25">
      <c r="M256" s="86"/>
      <c r="Q256" s="86"/>
    </row>
    <row r="257" spans="13:17" x14ac:dyDescent="0.25">
      <c r="M257" s="86"/>
      <c r="Q257" s="86"/>
    </row>
    <row r="258" spans="13:17" x14ac:dyDescent="0.25">
      <c r="M258" s="86"/>
      <c r="Q258" s="86"/>
    </row>
    <row r="259" spans="13:17" x14ac:dyDescent="0.25">
      <c r="M259" s="86"/>
      <c r="Q259" s="86"/>
    </row>
    <row r="260" spans="13:17" x14ac:dyDescent="0.25">
      <c r="M260" s="86"/>
      <c r="Q260" s="86"/>
    </row>
    <row r="261" spans="13:17" x14ac:dyDescent="0.25">
      <c r="M261" s="86"/>
      <c r="Q261" s="86"/>
    </row>
    <row r="262" spans="13:17" x14ac:dyDescent="0.25">
      <c r="M262" s="86"/>
      <c r="Q262" s="86"/>
    </row>
    <row r="263" spans="13:17" x14ac:dyDescent="0.25">
      <c r="M263" s="86"/>
      <c r="Q263" s="86"/>
    </row>
    <row r="264" spans="13:17" x14ac:dyDescent="0.25">
      <c r="M264" s="86"/>
      <c r="Q264" s="86"/>
    </row>
    <row r="265" spans="13:17" x14ac:dyDescent="0.25">
      <c r="M265" s="86"/>
      <c r="Q265" s="86"/>
    </row>
    <row r="266" spans="13:17" x14ac:dyDescent="0.25">
      <c r="M266" s="86"/>
      <c r="Q266" s="86"/>
    </row>
    <row r="267" spans="13:17" x14ac:dyDescent="0.25">
      <c r="M267" s="86"/>
      <c r="Q267" s="86"/>
    </row>
    <row r="268" spans="13:17" x14ac:dyDescent="0.25">
      <c r="M268" s="86"/>
      <c r="Q268" s="86"/>
    </row>
    <row r="269" spans="13:17" x14ac:dyDescent="0.25">
      <c r="M269" s="86"/>
      <c r="Q269" s="86"/>
    </row>
    <row r="270" spans="13:17" x14ac:dyDescent="0.25">
      <c r="M270" s="86"/>
      <c r="Q270" s="86"/>
    </row>
    <row r="271" spans="13:17" x14ac:dyDescent="0.25">
      <c r="M271" s="86"/>
      <c r="Q271" s="86"/>
    </row>
    <row r="272" spans="13:17" x14ac:dyDescent="0.25">
      <c r="M272" s="86"/>
      <c r="Q272" s="86"/>
    </row>
    <row r="273" spans="13:17" x14ac:dyDescent="0.25">
      <c r="M273" s="86"/>
      <c r="Q273" s="86"/>
    </row>
    <row r="274" spans="13:17" x14ac:dyDescent="0.25">
      <c r="M274" s="86"/>
      <c r="Q274" s="86"/>
    </row>
    <row r="275" spans="13:17" x14ac:dyDescent="0.25">
      <c r="M275" s="86"/>
      <c r="Q275" s="86"/>
    </row>
    <row r="276" spans="13:17" x14ac:dyDescent="0.25">
      <c r="M276" s="86"/>
      <c r="Q276" s="86"/>
    </row>
    <row r="277" spans="13:17" x14ac:dyDescent="0.25">
      <c r="M277" s="86"/>
      <c r="Q277" s="86"/>
    </row>
    <row r="278" spans="13:17" x14ac:dyDescent="0.25">
      <c r="M278" s="86"/>
      <c r="Q278" s="86"/>
    </row>
    <row r="279" spans="13:17" x14ac:dyDescent="0.25">
      <c r="M279" s="86"/>
      <c r="Q279" s="86"/>
    </row>
    <row r="280" spans="13:17" x14ac:dyDescent="0.25">
      <c r="M280" s="86"/>
      <c r="Q280" s="86"/>
    </row>
    <row r="281" spans="13:17" x14ac:dyDescent="0.25">
      <c r="M281" s="86"/>
      <c r="Q281" s="86"/>
    </row>
    <row r="282" spans="13:17" x14ac:dyDescent="0.25">
      <c r="M282" s="86"/>
      <c r="Q282" s="86"/>
    </row>
    <row r="283" spans="13:17" x14ac:dyDescent="0.25">
      <c r="M283" s="86"/>
      <c r="Q283" s="86"/>
    </row>
    <row r="284" spans="13:17" x14ac:dyDescent="0.25">
      <c r="M284" s="86"/>
      <c r="Q284" s="86"/>
    </row>
    <row r="285" spans="13:17" x14ac:dyDescent="0.25">
      <c r="M285" s="86"/>
      <c r="Q285" s="86"/>
    </row>
    <row r="286" spans="13:17" x14ac:dyDescent="0.25">
      <c r="M286" s="86"/>
      <c r="Q286" s="86"/>
    </row>
    <row r="287" spans="13:17" x14ac:dyDescent="0.25">
      <c r="M287" s="86"/>
      <c r="Q287" s="86"/>
    </row>
    <row r="288" spans="13:17" x14ac:dyDescent="0.25">
      <c r="M288" s="86"/>
      <c r="Q288" s="86"/>
    </row>
    <row r="289" spans="13:17" x14ac:dyDescent="0.25">
      <c r="M289" s="86"/>
      <c r="Q289" s="86"/>
    </row>
    <row r="290" spans="13:17" x14ac:dyDescent="0.25">
      <c r="M290" s="86"/>
      <c r="Q290" s="86"/>
    </row>
    <row r="291" spans="13:17" x14ac:dyDescent="0.25">
      <c r="M291" s="86"/>
      <c r="Q291" s="86"/>
    </row>
    <row r="292" spans="13:17" x14ac:dyDescent="0.25">
      <c r="M292" s="86"/>
      <c r="Q292" s="86"/>
    </row>
    <row r="293" spans="13:17" x14ac:dyDescent="0.25">
      <c r="M293" s="86"/>
      <c r="Q293" s="86"/>
    </row>
    <row r="294" spans="13:17" x14ac:dyDescent="0.25">
      <c r="M294" s="86"/>
      <c r="Q294" s="86"/>
    </row>
    <row r="295" spans="13:17" x14ac:dyDescent="0.25">
      <c r="M295" s="86"/>
      <c r="Q295" s="86"/>
    </row>
    <row r="296" spans="13:17" x14ac:dyDescent="0.25">
      <c r="M296" s="86"/>
      <c r="Q296" s="86"/>
    </row>
    <row r="297" spans="13:17" x14ac:dyDescent="0.25">
      <c r="M297" s="86"/>
      <c r="Q297" s="86"/>
    </row>
    <row r="298" spans="13:17" x14ac:dyDescent="0.25">
      <c r="M298" s="86"/>
      <c r="Q298" s="86"/>
    </row>
    <row r="299" spans="13:17" x14ac:dyDescent="0.25">
      <c r="M299" s="86"/>
      <c r="Q299" s="86"/>
    </row>
    <row r="300" spans="13:17" x14ac:dyDescent="0.25">
      <c r="M300" s="86"/>
      <c r="Q300" s="86"/>
    </row>
    <row r="301" spans="13:17" x14ac:dyDescent="0.25">
      <c r="M301" s="86"/>
      <c r="Q301" s="86"/>
    </row>
    <row r="302" spans="13:17" x14ac:dyDescent="0.25">
      <c r="M302" s="86"/>
      <c r="Q302" s="86"/>
    </row>
    <row r="303" spans="13:17" x14ac:dyDescent="0.25">
      <c r="M303" s="86"/>
      <c r="Q303" s="86"/>
    </row>
    <row r="304" spans="13:17" x14ac:dyDescent="0.25">
      <c r="M304" s="86"/>
      <c r="Q304" s="86"/>
    </row>
    <row r="305" spans="13:17" x14ac:dyDescent="0.25">
      <c r="M305" s="86"/>
      <c r="Q305" s="86"/>
    </row>
    <row r="306" spans="13:17" x14ac:dyDescent="0.25">
      <c r="M306" s="86"/>
      <c r="Q306" s="86"/>
    </row>
    <row r="307" spans="13:17" x14ac:dyDescent="0.25">
      <c r="M307" s="86"/>
      <c r="Q307" s="86"/>
    </row>
    <row r="308" spans="13:17" x14ac:dyDescent="0.25">
      <c r="M308" s="86"/>
      <c r="Q308" s="86"/>
    </row>
    <row r="309" spans="13:17" x14ac:dyDescent="0.25">
      <c r="M309" s="86"/>
      <c r="Q309" s="86"/>
    </row>
    <row r="310" spans="13:17" x14ac:dyDescent="0.25">
      <c r="M310" s="86"/>
      <c r="Q310" s="86"/>
    </row>
    <row r="311" spans="13:17" x14ac:dyDescent="0.25">
      <c r="M311" s="86"/>
      <c r="Q311" s="86"/>
    </row>
    <row r="312" spans="13:17" x14ac:dyDescent="0.25">
      <c r="M312" s="86"/>
      <c r="Q312" s="86"/>
    </row>
    <row r="313" spans="13:17" x14ac:dyDescent="0.25">
      <c r="M313" s="86"/>
      <c r="Q313" s="86"/>
    </row>
    <row r="314" spans="13:17" x14ac:dyDescent="0.25">
      <c r="M314" s="86"/>
      <c r="Q314" s="86"/>
    </row>
    <row r="315" spans="13:17" x14ac:dyDescent="0.25">
      <c r="M315" s="86"/>
      <c r="Q315" s="86"/>
    </row>
    <row r="316" spans="13:17" x14ac:dyDescent="0.25">
      <c r="M316" s="86"/>
      <c r="Q316" s="86"/>
    </row>
    <row r="317" spans="13:17" x14ac:dyDescent="0.25">
      <c r="M317" s="86"/>
      <c r="Q317" s="86"/>
    </row>
    <row r="318" spans="13:17" x14ac:dyDescent="0.25">
      <c r="M318" s="86"/>
      <c r="Q318" s="86"/>
    </row>
    <row r="319" spans="13:17" x14ac:dyDescent="0.25">
      <c r="M319" s="86"/>
      <c r="Q319" s="86"/>
    </row>
    <row r="320" spans="13:17" x14ac:dyDescent="0.25">
      <c r="M320" s="86"/>
      <c r="Q320" s="86"/>
    </row>
    <row r="321" spans="13:17" x14ac:dyDescent="0.25">
      <c r="M321" s="86"/>
      <c r="Q321" s="86"/>
    </row>
    <row r="322" spans="13:17" x14ac:dyDescent="0.25">
      <c r="M322" s="86"/>
      <c r="Q322" s="86"/>
    </row>
    <row r="323" spans="13:17" x14ac:dyDescent="0.25">
      <c r="M323" s="86"/>
      <c r="Q323" s="86"/>
    </row>
    <row r="324" spans="13:17" x14ac:dyDescent="0.25">
      <c r="M324" s="86"/>
      <c r="Q324" s="86"/>
    </row>
    <row r="325" spans="13:17" x14ac:dyDescent="0.25">
      <c r="M325" s="86"/>
      <c r="Q325" s="86"/>
    </row>
    <row r="326" spans="13:17" x14ac:dyDescent="0.25">
      <c r="M326" s="86"/>
      <c r="Q326" s="86"/>
    </row>
    <row r="327" spans="13:17" x14ac:dyDescent="0.25">
      <c r="M327" s="86"/>
      <c r="Q327" s="86"/>
    </row>
    <row r="328" spans="13:17" x14ac:dyDescent="0.25">
      <c r="M328" s="86"/>
      <c r="Q328" s="86"/>
    </row>
    <row r="329" spans="13:17" x14ac:dyDescent="0.25">
      <c r="M329" s="86"/>
      <c r="Q329" s="86"/>
    </row>
    <row r="330" spans="13:17" x14ac:dyDescent="0.25">
      <c r="M330" s="86"/>
      <c r="Q330" s="86"/>
    </row>
    <row r="331" spans="13:17" x14ac:dyDescent="0.25">
      <c r="M331" s="86"/>
      <c r="Q331" s="86"/>
    </row>
    <row r="332" spans="13:17" x14ac:dyDescent="0.25">
      <c r="M332" s="86"/>
      <c r="Q332" s="86"/>
    </row>
    <row r="333" spans="13:17" x14ac:dyDescent="0.25">
      <c r="M333" s="86"/>
      <c r="Q333" s="86"/>
    </row>
    <row r="334" spans="13:17" x14ac:dyDescent="0.25">
      <c r="M334" s="86"/>
      <c r="Q334" s="86"/>
    </row>
    <row r="335" spans="13:17" x14ac:dyDescent="0.25">
      <c r="M335" s="86"/>
      <c r="Q335" s="86"/>
    </row>
    <row r="336" spans="13:17" x14ac:dyDescent="0.25">
      <c r="M336" s="86"/>
      <c r="Q336" s="86"/>
    </row>
    <row r="337" spans="13:17" x14ac:dyDescent="0.25">
      <c r="M337" s="86"/>
      <c r="Q337" s="86"/>
    </row>
    <row r="338" spans="13:17" x14ac:dyDescent="0.25">
      <c r="M338" s="86"/>
      <c r="Q338" s="86"/>
    </row>
    <row r="339" spans="13:17" x14ac:dyDescent="0.25">
      <c r="M339" s="86"/>
      <c r="Q339" s="86"/>
    </row>
    <row r="340" spans="13:17" x14ac:dyDescent="0.25">
      <c r="M340" s="86"/>
      <c r="Q340" s="86"/>
    </row>
    <row r="341" spans="13:17" x14ac:dyDescent="0.25">
      <c r="M341" s="86"/>
      <c r="Q341" s="86"/>
    </row>
    <row r="342" spans="13:17" x14ac:dyDescent="0.25">
      <c r="M342" s="86"/>
      <c r="Q342" s="86"/>
    </row>
    <row r="343" spans="13:17" x14ac:dyDescent="0.25">
      <c r="M343" s="86"/>
      <c r="Q343" s="86"/>
    </row>
    <row r="344" spans="13:17" x14ac:dyDescent="0.25">
      <c r="M344" s="86"/>
      <c r="Q344" s="86"/>
    </row>
    <row r="345" spans="13:17" x14ac:dyDescent="0.25">
      <c r="M345" s="86"/>
      <c r="Q345" s="86"/>
    </row>
    <row r="346" spans="13:17" x14ac:dyDescent="0.25">
      <c r="M346" s="86"/>
      <c r="Q346" s="86"/>
    </row>
    <row r="347" spans="13:17" x14ac:dyDescent="0.25">
      <c r="M347" s="86"/>
      <c r="Q347" s="86"/>
    </row>
    <row r="348" spans="13:17" x14ac:dyDescent="0.25">
      <c r="M348" s="86"/>
      <c r="Q348" s="86"/>
    </row>
    <row r="349" spans="13:17" x14ac:dyDescent="0.25">
      <c r="M349" s="86"/>
      <c r="Q349" s="86"/>
    </row>
    <row r="350" spans="13:17" x14ac:dyDescent="0.25">
      <c r="M350" s="86"/>
      <c r="Q350" s="86"/>
    </row>
    <row r="351" spans="13:17" x14ac:dyDescent="0.25">
      <c r="M351" s="86"/>
      <c r="Q351" s="86"/>
    </row>
    <row r="352" spans="13:17" x14ac:dyDescent="0.25">
      <c r="M352" s="86"/>
      <c r="Q352" s="86"/>
    </row>
    <row r="353" spans="13:17" x14ac:dyDescent="0.25">
      <c r="M353" s="86"/>
      <c r="Q353" s="86"/>
    </row>
    <row r="354" spans="13:17" x14ac:dyDescent="0.25">
      <c r="M354" s="86"/>
      <c r="Q354" s="86"/>
    </row>
    <row r="355" spans="13:17" x14ac:dyDescent="0.25">
      <c r="M355" s="86"/>
      <c r="Q355" s="86"/>
    </row>
    <row r="356" spans="13:17" x14ac:dyDescent="0.25">
      <c r="M356" s="86"/>
      <c r="Q356" s="86"/>
    </row>
    <row r="357" spans="13:17" x14ac:dyDescent="0.25">
      <c r="M357" s="86"/>
      <c r="Q357" s="86"/>
    </row>
    <row r="358" spans="13:17" x14ac:dyDescent="0.25">
      <c r="M358" s="86"/>
      <c r="Q358" s="86"/>
    </row>
    <row r="359" spans="13:17" x14ac:dyDescent="0.25">
      <c r="M359" s="86"/>
      <c r="Q359" s="86"/>
    </row>
    <row r="360" spans="13:17" x14ac:dyDescent="0.25">
      <c r="M360" s="86"/>
      <c r="Q360" s="86"/>
    </row>
    <row r="361" spans="13:17" x14ac:dyDescent="0.25">
      <c r="M361" s="86"/>
      <c r="Q361" s="86"/>
    </row>
    <row r="362" spans="13:17" x14ac:dyDescent="0.25">
      <c r="M362" s="86"/>
      <c r="Q362" s="86"/>
    </row>
    <row r="363" spans="13:17" x14ac:dyDescent="0.25">
      <c r="M363" s="86"/>
      <c r="Q363" s="86"/>
    </row>
    <row r="364" spans="13:17" x14ac:dyDescent="0.25">
      <c r="M364" s="86"/>
      <c r="Q364" s="86"/>
    </row>
    <row r="365" spans="13:17" x14ac:dyDescent="0.25">
      <c r="M365" s="86"/>
      <c r="Q365" s="86"/>
    </row>
    <row r="366" spans="13:17" x14ac:dyDescent="0.25">
      <c r="M366" s="86"/>
      <c r="Q366" s="86"/>
    </row>
    <row r="367" spans="13:17" x14ac:dyDescent="0.25">
      <c r="M367" s="86"/>
      <c r="Q367" s="86"/>
    </row>
    <row r="368" spans="13:17" x14ac:dyDescent="0.25">
      <c r="M368" s="86"/>
      <c r="Q368" s="86"/>
    </row>
    <row r="369" spans="13:17" x14ac:dyDescent="0.25">
      <c r="M369" s="86"/>
      <c r="Q369" s="86"/>
    </row>
    <row r="370" spans="13:17" x14ac:dyDescent="0.25">
      <c r="M370" s="86"/>
      <c r="Q370" s="86"/>
    </row>
    <row r="371" spans="13:17" x14ac:dyDescent="0.25">
      <c r="M371" s="86"/>
      <c r="Q371" s="86"/>
    </row>
    <row r="372" spans="13:17" x14ac:dyDescent="0.25">
      <c r="M372" s="86"/>
      <c r="Q372" s="86"/>
    </row>
    <row r="373" spans="13:17" x14ac:dyDescent="0.25">
      <c r="M373" s="86"/>
      <c r="Q373" s="86"/>
    </row>
    <row r="374" spans="13:17" x14ac:dyDescent="0.25">
      <c r="M374" s="86"/>
      <c r="Q374" s="86"/>
    </row>
    <row r="375" spans="13:17" x14ac:dyDescent="0.25">
      <c r="M375" s="86"/>
      <c r="Q375" s="86"/>
    </row>
    <row r="376" spans="13:17" x14ac:dyDescent="0.25">
      <c r="M376" s="86"/>
      <c r="Q376" s="86"/>
    </row>
    <row r="377" spans="13:17" x14ac:dyDescent="0.25">
      <c r="M377" s="86"/>
      <c r="Q377" s="86"/>
    </row>
    <row r="378" spans="13:17" x14ac:dyDescent="0.25">
      <c r="M378" s="86"/>
      <c r="Q378" s="86"/>
    </row>
    <row r="379" spans="13:17" x14ac:dyDescent="0.25">
      <c r="M379" s="86"/>
      <c r="Q379" s="86"/>
    </row>
    <row r="380" spans="13:17" x14ac:dyDescent="0.25">
      <c r="M380" s="86"/>
      <c r="Q380" s="86"/>
    </row>
    <row r="381" spans="13:17" x14ac:dyDescent="0.25">
      <c r="M381" s="86"/>
      <c r="Q381" s="86"/>
    </row>
    <row r="382" spans="13:17" x14ac:dyDescent="0.25">
      <c r="M382" s="86"/>
      <c r="Q382" s="86"/>
    </row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7C91-7483-45CD-A0F5-5A528F14961B}">
  <sheetPr>
    <tabColor rgb="FF9966FF"/>
    <pageSetUpPr autoPageBreaks="0"/>
  </sheetPr>
  <dimension ref="A1:T125"/>
  <sheetViews>
    <sheetView showGridLines="0" zoomScaleNormal="100" zoomScaleSheetLayoutView="100" workbookViewId="0">
      <pane ySplit="10" topLeftCell="A26" activePane="bottomLeft" state="frozen"/>
      <selection activeCell="R10" sqref="R10"/>
      <selection pane="bottomLeft" activeCell="M30" sqref="M30:M65"/>
    </sheetView>
  </sheetViews>
  <sheetFormatPr defaultColWidth="9.140625" defaultRowHeight="15" x14ac:dyDescent="0.25"/>
  <cols>
    <col min="1" max="1" width="35.28515625" style="15" customWidth="1"/>
    <col min="2" max="2" width="13.14062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15" hidden="1" customWidth="1"/>
    <col min="16" max="16" width="1.7109375" style="2" hidden="1" customWidth="1"/>
    <col min="17" max="17" width="9.7109375" style="15" hidden="1" customWidth="1"/>
    <col min="18" max="18" width="26.7109375" customWidth="1"/>
    <col min="21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8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8"/>
      <c r="B3" s="80"/>
      <c r="C3" s="8"/>
      <c r="D3" s="8"/>
      <c r="G3" s="8"/>
      <c r="I3" s="81"/>
      <c r="K3" s="8"/>
      <c r="M3" s="8"/>
      <c r="N3" s="8"/>
      <c r="O3" s="8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8"/>
    </row>
    <row r="5" spans="1:18" ht="13.15" customHeight="1" x14ac:dyDescent="0.25">
      <c r="A5" s="83" t="s">
        <v>522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8"/>
    </row>
    <row r="6" spans="1:18" ht="13.15" customHeight="1" x14ac:dyDescent="0.25">
      <c r="A6" s="83" t="s">
        <v>523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8"/>
    </row>
    <row r="7" spans="1:18" ht="13.15" customHeight="1" x14ac:dyDescent="0.25">
      <c r="A7" s="84"/>
      <c r="B7" s="85"/>
      <c r="C7" s="84"/>
      <c r="D7" s="84"/>
      <c r="E7" s="117"/>
      <c r="F7" s="110"/>
      <c r="G7" s="84"/>
      <c r="H7" s="110"/>
      <c r="I7" s="111"/>
      <c r="J7" s="110"/>
      <c r="K7" s="84"/>
      <c r="L7" s="110"/>
      <c r="M7" s="84"/>
      <c r="Q7" s="84"/>
    </row>
    <row r="8" spans="1:18" x14ac:dyDescent="0.25">
      <c r="G8" s="18"/>
      <c r="H8" s="19"/>
      <c r="I8" s="20"/>
      <c r="J8" s="19"/>
      <c r="K8" s="18"/>
      <c r="L8" s="21" t="s">
        <v>4</v>
      </c>
      <c r="M8" s="22">
        <f>' 911 Admin'!M8</f>
        <v>2027</v>
      </c>
      <c r="N8" s="22"/>
      <c r="O8" s="22"/>
      <c r="P8" s="22"/>
      <c r="Q8" s="22"/>
    </row>
    <row r="9" spans="1:18" x14ac:dyDescent="0.25">
      <c r="C9" s="21"/>
      <c r="D9" s="21"/>
      <c r="E9" s="23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x14ac:dyDescent="0.25">
      <c r="B10" s="26" t="s">
        <v>8</v>
      </c>
      <c r="C10" s="26" t="s">
        <v>9</v>
      </c>
      <c r="D10" s="26" t="s">
        <v>10</v>
      </c>
      <c r="E10" s="23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2.95" customHeight="1" x14ac:dyDescent="0.25">
      <c r="A11" s="28" t="s">
        <v>16</v>
      </c>
      <c r="I11" s="15"/>
    </row>
    <row r="12" spans="1:18" ht="24.95" customHeight="1" x14ac:dyDescent="0.25">
      <c r="A12" s="92" t="s">
        <v>524</v>
      </c>
      <c r="B12" s="93" t="s">
        <v>525</v>
      </c>
      <c r="C12" s="69">
        <v>501201</v>
      </c>
      <c r="D12" s="69"/>
      <c r="E12" s="94" t="str">
        <f>_xlfn.CONCAT(B12,C12,D12)</f>
        <v>00109090501201</v>
      </c>
      <c r="F12" s="42" t="s">
        <v>19</v>
      </c>
      <c r="G12" s="34">
        <f>ROUND(IFERROR(VLOOKUP(_xlfn.CONCAT($B12,$C12,$D12),$A$75:$C$9994,3,FALSE),0),0)</f>
        <v>116539</v>
      </c>
      <c r="H12" s="42" t="s">
        <v>19</v>
      </c>
      <c r="I12" s="34">
        <f>ROUND(IFERROR(VLOOKUP(_xlfn.CONCAT($B12,$C12,$D12),$A$75:$C$9994,2,FALSE),0),0)</f>
        <v>126239</v>
      </c>
      <c r="J12" s="42" t="s">
        <v>19</v>
      </c>
      <c r="K12" s="45">
        <v>138033</v>
      </c>
      <c r="L12" s="42" t="s">
        <v>19</v>
      </c>
      <c r="M12" s="45">
        <f>'[1]Payroll Summary by Department'!C59</f>
        <v>138033</v>
      </c>
      <c r="N12" s="141" t="s">
        <v>19</v>
      </c>
      <c r="O12" s="45">
        <f>M12</f>
        <v>138033</v>
      </c>
      <c r="P12" s="141" t="s">
        <v>19</v>
      </c>
      <c r="Q12" s="45">
        <f>O12</f>
        <v>138033</v>
      </c>
    </row>
    <row r="13" spans="1:18" ht="13.5" customHeight="1" x14ac:dyDescent="0.25">
      <c r="A13" s="92" t="s">
        <v>285</v>
      </c>
      <c r="B13" s="93" t="s">
        <v>525</v>
      </c>
      <c r="C13" s="69">
        <v>501290</v>
      </c>
      <c r="D13" s="69"/>
      <c r="E13" s="94" t="str">
        <f t="shared" ref="E13:E65" si="0">_xlfn.CONCAT(B13,C13,D13)</f>
        <v>00109090501290</v>
      </c>
      <c r="G13" s="34">
        <f t="shared" ref="G13:G22" si="1">ROUND(IFERROR(VLOOKUP(_xlfn.CONCAT($B13,$C13,$D13),$A$75:$C$9994,3,FALSE),0),0)</f>
        <v>0</v>
      </c>
      <c r="H13" s="67"/>
      <c r="I13" s="34">
        <f t="shared" ref="I13:I22" si="2">ROUND(IFERROR(VLOOKUP(_xlfn.CONCAT($B13,$C13,$D13),$A$75:$C$9994,2,FALSE),0),0)</f>
        <v>0</v>
      </c>
      <c r="J13" s="67"/>
      <c r="K13" s="45">
        <v>0</v>
      </c>
      <c r="L13" s="67"/>
      <c r="M13" s="45">
        <v>0</v>
      </c>
      <c r="N13" s="67"/>
      <c r="O13" s="45">
        <f t="shared" ref="O13:O22" si="3">M13</f>
        <v>0</v>
      </c>
      <c r="Q13" s="45">
        <f t="shared" ref="Q13:Q22" si="4">O13</f>
        <v>0</v>
      </c>
    </row>
    <row r="14" spans="1:18" ht="12.95" customHeight="1" x14ac:dyDescent="0.25">
      <c r="A14" s="40" t="s">
        <v>21</v>
      </c>
      <c r="B14" s="93" t="s">
        <v>525</v>
      </c>
      <c r="C14" s="69">
        <v>501400</v>
      </c>
      <c r="D14" s="69"/>
      <c r="E14" s="94" t="str">
        <f t="shared" si="0"/>
        <v>00109090501400</v>
      </c>
      <c r="G14" s="34">
        <f t="shared" si="1"/>
        <v>2579</v>
      </c>
      <c r="H14" s="67"/>
      <c r="I14" s="34">
        <f t="shared" si="2"/>
        <v>6319</v>
      </c>
      <c r="J14" s="67"/>
      <c r="K14" s="45">
        <v>3000</v>
      </c>
      <c r="L14" s="67"/>
      <c r="M14" s="45">
        <v>3000</v>
      </c>
      <c r="N14" s="44"/>
      <c r="O14" s="45">
        <f t="shared" si="3"/>
        <v>3000</v>
      </c>
      <c r="Q14" s="45">
        <f t="shared" si="4"/>
        <v>3000</v>
      </c>
    </row>
    <row r="15" spans="1:18" ht="12.95" customHeight="1" x14ac:dyDescent="0.25">
      <c r="A15" s="40" t="s">
        <v>526</v>
      </c>
      <c r="B15" s="93" t="s">
        <v>525</v>
      </c>
      <c r="C15" s="69">
        <v>501401</v>
      </c>
      <c r="D15" s="69"/>
      <c r="E15" s="94" t="str">
        <f t="shared" si="0"/>
        <v>00109090501401</v>
      </c>
      <c r="G15" s="34">
        <f t="shared" si="1"/>
        <v>0</v>
      </c>
      <c r="H15" s="67"/>
      <c r="I15" s="34">
        <f t="shared" si="2"/>
        <v>0</v>
      </c>
      <c r="J15" s="67"/>
      <c r="K15" s="45">
        <v>750</v>
      </c>
      <c r="L15" s="67"/>
      <c r="M15" s="45">
        <v>750</v>
      </c>
      <c r="N15" s="44"/>
      <c r="O15" s="45">
        <f t="shared" si="3"/>
        <v>750</v>
      </c>
      <c r="Q15" s="45">
        <f t="shared" si="4"/>
        <v>750</v>
      </c>
    </row>
    <row r="16" spans="1:18" ht="12.95" customHeight="1" x14ac:dyDescent="0.25">
      <c r="A16" s="40" t="s">
        <v>23</v>
      </c>
      <c r="B16" s="93" t="s">
        <v>525</v>
      </c>
      <c r="C16" s="69">
        <v>501600</v>
      </c>
      <c r="D16" s="69"/>
      <c r="E16" s="94" t="str">
        <f t="shared" si="0"/>
        <v>00109090501600</v>
      </c>
      <c r="G16" s="34">
        <f t="shared" si="1"/>
        <v>4234</v>
      </c>
      <c r="H16" s="67"/>
      <c r="I16" s="34">
        <f t="shared" si="2"/>
        <v>3071</v>
      </c>
      <c r="J16" s="67"/>
      <c r="K16" s="45">
        <v>7800</v>
      </c>
      <c r="L16" s="67"/>
      <c r="M16" s="45">
        <f>'[1]Payroll Summary by Department'!I59</f>
        <v>7800</v>
      </c>
      <c r="N16" s="44"/>
      <c r="O16" s="45">
        <f t="shared" si="3"/>
        <v>7800</v>
      </c>
      <c r="Q16" s="45">
        <f t="shared" si="4"/>
        <v>7800</v>
      </c>
    </row>
    <row r="17" spans="1:17" ht="12.95" customHeight="1" x14ac:dyDescent="0.25">
      <c r="A17" s="40" t="s">
        <v>25</v>
      </c>
      <c r="B17" s="93" t="s">
        <v>525</v>
      </c>
      <c r="C17" s="41">
        <v>501702</v>
      </c>
      <c r="D17" s="41"/>
      <c r="E17" s="94" t="str">
        <f t="shared" si="0"/>
        <v>00109090501702</v>
      </c>
      <c r="G17" s="34">
        <f t="shared" si="1"/>
        <v>348</v>
      </c>
      <c r="H17" s="67"/>
      <c r="I17" s="34">
        <f t="shared" si="2"/>
        <v>602</v>
      </c>
      <c r="J17" s="67"/>
      <c r="K17" s="45">
        <v>600</v>
      </c>
      <c r="L17" s="67"/>
      <c r="M17" s="45">
        <f>'[1]Payroll Summary by Department'!L59</f>
        <v>600</v>
      </c>
      <c r="N17" s="44"/>
      <c r="O17" s="45">
        <f t="shared" si="3"/>
        <v>600</v>
      </c>
      <c r="Q17" s="45">
        <f t="shared" si="4"/>
        <v>600</v>
      </c>
    </row>
    <row r="18" spans="1:17" ht="12.95" customHeight="1" x14ac:dyDescent="0.25">
      <c r="A18" s="40" t="s">
        <v>26</v>
      </c>
      <c r="B18" s="93" t="s">
        <v>525</v>
      </c>
      <c r="C18" s="41">
        <v>501800</v>
      </c>
      <c r="D18" s="41"/>
      <c r="E18" s="94" t="str">
        <f t="shared" si="0"/>
        <v>00109090501800</v>
      </c>
      <c r="G18" s="34">
        <f t="shared" si="1"/>
        <v>0</v>
      </c>
      <c r="H18" s="43"/>
      <c r="I18" s="34">
        <f t="shared" si="2"/>
        <v>0</v>
      </c>
      <c r="J18" s="43"/>
      <c r="K18" s="45">
        <v>0</v>
      </c>
      <c r="L18" s="43"/>
      <c r="M18" s="45">
        <v>0</v>
      </c>
      <c r="N18" s="44"/>
      <c r="O18" s="45">
        <f t="shared" si="3"/>
        <v>0</v>
      </c>
      <c r="Q18" s="45">
        <f t="shared" si="4"/>
        <v>0</v>
      </c>
    </row>
    <row r="19" spans="1:17" ht="12.95" customHeight="1" x14ac:dyDescent="0.25">
      <c r="A19" s="40" t="s">
        <v>27</v>
      </c>
      <c r="B19" s="93" t="s">
        <v>525</v>
      </c>
      <c r="C19" s="69">
        <v>502100</v>
      </c>
      <c r="D19" s="69"/>
      <c r="E19" s="94" t="str">
        <f t="shared" si="0"/>
        <v>00109090502100</v>
      </c>
      <c r="G19" s="34">
        <f t="shared" si="1"/>
        <v>9284</v>
      </c>
      <c r="H19" s="67"/>
      <c r="I19" s="34">
        <f t="shared" si="2"/>
        <v>10311</v>
      </c>
      <c r="J19" s="67"/>
      <c r="K19" s="45">
        <v>10892</v>
      </c>
      <c r="L19" s="67"/>
      <c r="M19" s="45">
        <f>'[1]Payroll Summary by Department'!N59</f>
        <v>10892</v>
      </c>
      <c r="N19" s="44"/>
      <c r="O19" s="45">
        <f t="shared" si="3"/>
        <v>10892</v>
      </c>
      <c r="Q19" s="45">
        <f t="shared" si="4"/>
        <v>10892</v>
      </c>
    </row>
    <row r="20" spans="1:17" ht="12.95" customHeight="1" x14ac:dyDescent="0.25">
      <c r="A20" s="40" t="s">
        <v>28</v>
      </c>
      <c r="B20" s="93" t="s">
        <v>525</v>
      </c>
      <c r="C20" s="69">
        <v>502200</v>
      </c>
      <c r="D20" s="69"/>
      <c r="E20" s="94" t="str">
        <f t="shared" si="0"/>
        <v>00109090502200</v>
      </c>
      <c r="G20" s="34">
        <f t="shared" si="1"/>
        <v>12011</v>
      </c>
      <c r="H20" s="67"/>
      <c r="I20" s="34">
        <f t="shared" si="2"/>
        <v>12548</v>
      </c>
      <c r="J20" s="67"/>
      <c r="K20" s="45">
        <v>17525</v>
      </c>
      <c r="L20" s="67"/>
      <c r="M20" s="45">
        <f>'[1]Payroll Summary by Department'!O59+'[1]Payroll Summary by Department'!P59</f>
        <v>17525</v>
      </c>
      <c r="N20" s="44"/>
      <c r="O20" s="45">
        <f t="shared" si="3"/>
        <v>17525</v>
      </c>
      <c r="Q20" s="45">
        <f t="shared" si="4"/>
        <v>17525</v>
      </c>
    </row>
    <row r="21" spans="1:17" ht="12.95" customHeight="1" x14ac:dyDescent="0.25">
      <c r="A21" s="40" t="s">
        <v>29</v>
      </c>
      <c r="B21" s="93" t="s">
        <v>525</v>
      </c>
      <c r="C21" s="69">
        <v>502300</v>
      </c>
      <c r="D21" s="69"/>
      <c r="E21" s="94" t="str">
        <f t="shared" si="0"/>
        <v>00109090502300</v>
      </c>
      <c r="G21" s="34">
        <f t="shared" si="1"/>
        <v>24981</v>
      </c>
      <c r="H21" s="67"/>
      <c r="I21" s="34">
        <f t="shared" si="2"/>
        <v>24458</v>
      </c>
      <c r="J21" s="67"/>
      <c r="K21" s="45">
        <v>34554</v>
      </c>
      <c r="L21" s="67"/>
      <c r="M21" s="45">
        <f>'[1]Payroll Summary by Department'!Q59</f>
        <v>34554</v>
      </c>
      <c r="N21" s="44"/>
      <c r="O21" s="45">
        <f t="shared" si="3"/>
        <v>34554</v>
      </c>
      <c r="Q21" s="45">
        <f t="shared" si="4"/>
        <v>34554</v>
      </c>
    </row>
    <row r="22" spans="1:17" ht="12.95" customHeight="1" x14ac:dyDescent="0.25">
      <c r="A22" s="40" t="s">
        <v>30</v>
      </c>
      <c r="B22" s="93" t="s">
        <v>525</v>
      </c>
      <c r="C22" s="69">
        <v>502400</v>
      </c>
      <c r="D22" s="69"/>
      <c r="E22" s="94" t="str">
        <f t="shared" si="0"/>
        <v>00109090502400</v>
      </c>
      <c r="G22" s="34">
        <f t="shared" si="1"/>
        <v>236</v>
      </c>
      <c r="H22" s="67"/>
      <c r="I22" s="34">
        <f t="shared" si="2"/>
        <v>250</v>
      </c>
      <c r="J22" s="67"/>
      <c r="K22" s="97">
        <v>261</v>
      </c>
      <c r="L22" s="67"/>
      <c r="M22" s="97">
        <f>'[1]Payroll Summary by Department'!R59</f>
        <v>261</v>
      </c>
      <c r="N22" s="44"/>
      <c r="O22" s="45">
        <f t="shared" si="3"/>
        <v>261</v>
      </c>
      <c r="Q22" s="45">
        <f t="shared" si="4"/>
        <v>261</v>
      </c>
    </row>
    <row r="23" spans="1:17" ht="21" customHeight="1" x14ac:dyDescent="0.25">
      <c r="A23" s="49" t="s">
        <v>31</v>
      </c>
      <c r="B23" s="50"/>
      <c r="E23" s="94" t="str">
        <f t="shared" si="0"/>
        <v/>
      </c>
      <c r="F23" s="42" t="s">
        <v>19</v>
      </c>
      <c r="G23" s="98">
        <f>SUM(G12:G22)</f>
        <v>170212</v>
      </c>
      <c r="H23" s="42" t="s">
        <v>19</v>
      </c>
      <c r="I23" s="98">
        <f>SUM(I12:I22)</f>
        <v>183798</v>
      </c>
      <c r="J23" s="42" t="s">
        <v>19</v>
      </c>
      <c r="K23" s="97">
        <f>SUM(K12:K22)</f>
        <v>213415</v>
      </c>
      <c r="L23" s="42" t="s">
        <v>19</v>
      </c>
      <c r="M23" s="97">
        <f>SUM(M12:M22)</f>
        <v>213415</v>
      </c>
      <c r="N23" s="141" t="s">
        <v>19</v>
      </c>
      <c r="O23" s="98">
        <f>SUM(O12:O22)</f>
        <v>213415</v>
      </c>
      <c r="P23" s="141" t="s">
        <v>19</v>
      </c>
      <c r="Q23" s="98">
        <f>SUM(Q12:Q22)</f>
        <v>213415</v>
      </c>
    </row>
    <row r="24" spans="1:17" ht="21" customHeight="1" x14ac:dyDescent="0.25">
      <c r="A24" s="99" t="s">
        <v>32</v>
      </c>
      <c r="E24" s="94" t="str">
        <f t="shared" si="0"/>
        <v/>
      </c>
      <c r="G24" s="45"/>
      <c r="H24" s="67"/>
      <c r="I24" s="45"/>
      <c r="J24" s="67"/>
      <c r="K24" s="45"/>
      <c r="L24" s="67"/>
      <c r="M24" s="45"/>
      <c r="O24" s="45"/>
      <c r="Q24" s="45"/>
    </row>
    <row r="25" spans="1:17" ht="12.95" customHeight="1" x14ac:dyDescent="0.25">
      <c r="A25" s="100" t="s">
        <v>33</v>
      </c>
      <c r="B25" s="70"/>
      <c r="E25" s="94" t="str">
        <f t="shared" si="0"/>
        <v/>
      </c>
      <c r="G25" s="45"/>
      <c r="H25" s="67"/>
      <c r="I25" s="45"/>
      <c r="J25" s="67"/>
      <c r="K25" s="45"/>
      <c r="L25" s="67"/>
      <c r="M25" s="45"/>
      <c r="O25" s="45"/>
      <c r="Q25" s="45"/>
    </row>
    <row r="26" spans="1:17" ht="12.95" customHeight="1" x14ac:dyDescent="0.25">
      <c r="A26" s="60" t="s">
        <v>527</v>
      </c>
      <c r="B26" s="61"/>
      <c r="C26" s="42" t="s">
        <v>324</v>
      </c>
      <c r="D26" s="42"/>
      <c r="E26" s="94" t="str">
        <f t="shared" si="0"/>
        <v>3A</v>
      </c>
      <c r="G26" s="129">
        <v>1</v>
      </c>
      <c r="H26" s="130"/>
      <c r="I26" s="129">
        <v>1</v>
      </c>
      <c r="J26" s="130"/>
      <c r="K26" s="129">
        <v>1</v>
      </c>
      <c r="L26" s="130"/>
      <c r="M26" s="129">
        <v>1</v>
      </c>
      <c r="O26" s="129">
        <f>M26</f>
        <v>1</v>
      </c>
      <c r="Q26" s="129">
        <f>O26</f>
        <v>1</v>
      </c>
    </row>
    <row r="27" spans="1:17" ht="12.95" customHeight="1" x14ac:dyDescent="0.25">
      <c r="A27" s="60" t="s">
        <v>528</v>
      </c>
      <c r="B27" s="61"/>
      <c r="C27" s="42" t="s">
        <v>46</v>
      </c>
      <c r="D27" s="42"/>
      <c r="E27" s="94" t="str">
        <f t="shared" si="0"/>
        <v>4C</v>
      </c>
      <c r="G27" s="97">
        <v>2</v>
      </c>
      <c r="H27" s="67"/>
      <c r="I27" s="97">
        <v>2</v>
      </c>
      <c r="J27" s="67"/>
      <c r="K27" s="97">
        <v>2</v>
      </c>
      <c r="L27" s="67"/>
      <c r="M27" s="97">
        <v>2</v>
      </c>
      <c r="O27" s="97">
        <v>2</v>
      </c>
      <c r="Q27" s="129">
        <f>O27</f>
        <v>2</v>
      </c>
    </row>
    <row r="28" spans="1:17" ht="21" customHeight="1" thickBot="1" x14ac:dyDescent="0.3">
      <c r="A28" s="102" t="s">
        <v>332</v>
      </c>
      <c r="B28" s="61"/>
      <c r="E28" s="94" t="str">
        <f t="shared" si="0"/>
        <v/>
      </c>
      <c r="G28" s="103">
        <f>SUM(G26:G27)</f>
        <v>3</v>
      </c>
      <c r="H28" s="119"/>
      <c r="I28" s="103">
        <f>SUM(I26:I27)</f>
        <v>3</v>
      </c>
      <c r="J28" s="119"/>
      <c r="K28" s="103">
        <f>SUM(K26:K27)</f>
        <v>3</v>
      </c>
      <c r="L28" s="119"/>
      <c r="M28" s="103">
        <f>SUM(M26:M27)</f>
        <v>3</v>
      </c>
      <c r="O28" s="103">
        <f>SUM(O26:O27)</f>
        <v>3</v>
      </c>
      <c r="Q28" s="147">
        <f>SUM(Q26:Q27)</f>
        <v>3</v>
      </c>
    </row>
    <row r="29" spans="1:17" ht="21" customHeight="1" thickTop="1" x14ac:dyDescent="0.25">
      <c r="A29" s="99" t="s">
        <v>52</v>
      </c>
      <c r="E29" s="94" t="str">
        <f t="shared" si="0"/>
        <v/>
      </c>
      <c r="G29" s="45"/>
      <c r="H29" s="67"/>
      <c r="I29" s="45"/>
      <c r="J29" s="67"/>
      <c r="K29" s="45"/>
      <c r="L29" s="67"/>
      <c r="M29" s="45"/>
      <c r="O29" s="45"/>
      <c r="Q29" s="45"/>
    </row>
    <row r="30" spans="1:17" ht="13.5" customHeight="1" x14ac:dyDescent="0.25">
      <c r="A30" s="40" t="s">
        <v>125</v>
      </c>
      <c r="B30" s="93" t="s">
        <v>525</v>
      </c>
      <c r="C30" s="15">
        <v>503450</v>
      </c>
      <c r="E30" s="94" t="str">
        <f t="shared" si="0"/>
        <v>00109090503450</v>
      </c>
      <c r="F30" s="42" t="s">
        <v>19</v>
      </c>
      <c r="G30" s="34">
        <f t="shared" ref="G30:G65" si="5">ROUND(IFERROR(VLOOKUP(_xlfn.CONCAT($B30,$C30,$D30),$A$75:$C$9994,3,FALSE),0),0)</f>
        <v>0</v>
      </c>
      <c r="H30" s="67" t="s">
        <v>19</v>
      </c>
      <c r="I30" s="34">
        <f t="shared" ref="I30:I65" si="6">ROUND(IFERROR(VLOOKUP(_xlfn.CONCAT($B30,$C30,$D30),$A$75:$C$9994,2,FALSE),0),0)</f>
        <v>0</v>
      </c>
      <c r="J30" s="67" t="s">
        <v>19</v>
      </c>
      <c r="K30" s="45">
        <v>0</v>
      </c>
      <c r="L30" s="67" t="s">
        <v>19</v>
      </c>
      <c r="M30" s="234">
        <v>0</v>
      </c>
      <c r="N30" s="44" t="s">
        <v>19</v>
      </c>
      <c r="O30" s="45">
        <f t="shared" ref="O30:O65" si="7">M30</f>
        <v>0</v>
      </c>
      <c r="P30" s="141" t="s">
        <v>19</v>
      </c>
      <c r="Q30" s="113">
        <f t="shared" ref="Q30:Q65" si="8">O30</f>
        <v>0</v>
      </c>
    </row>
    <row r="31" spans="1:17" ht="13.5" customHeight="1" x14ac:dyDescent="0.25">
      <c r="A31" s="40" t="s">
        <v>226</v>
      </c>
      <c r="B31" s="93" t="s">
        <v>525</v>
      </c>
      <c r="C31" s="69">
        <v>503460</v>
      </c>
      <c r="D31" s="69"/>
      <c r="E31" s="94" t="str">
        <f t="shared" si="0"/>
        <v>00109090503460</v>
      </c>
      <c r="F31" s="42" t="s">
        <v>19</v>
      </c>
      <c r="G31" s="34">
        <f t="shared" si="5"/>
        <v>0</v>
      </c>
      <c r="H31" s="67" t="s">
        <v>19</v>
      </c>
      <c r="I31" s="34">
        <f t="shared" si="6"/>
        <v>0</v>
      </c>
      <c r="J31" s="67" t="s">
        <v>19</v>
      </c>
      <c r="K31" s="113">
        <v>0</v>
      </c>
      <c r="L31" s="67" t="s">
        <v>19</v>
      </c>
      <c r="M31" s="238">
        <v>0</v>
      </c>
      <c r="N31" s="44" t="s">
        <v>19</v>
      </c>
      <c r="O31" s="45">
        <f t="shared" si="7"/>
        <v>0</v>
      </c>
      <c r="P31" s="141" t="s">
        <v>19</v>
      </c>
      <c r="Q31" s="113">
        <f t="shared" si="8"/>
        <v>0</v>
      </c>
    </row>
    <row r="32" spans="1:17" ht="13.5" customHeight="1" x14ac:dyDescent="0.25">
      <c r="A32" s="40" t="s">
        <v>529</v>
      </c>
      <c r="B32" s="93" t="s">
        <v>525</v>
      </c>
      <c r="C32" s="69">
        <v>503461</v>
      </c>
      <c r="D32" s="69"/>
      <c r="E32" s="94" t="str">
        <f t="shared" si="0"/>
        <v>00109090503461</v>
      </c>
      <c r="F32" s="42" t="s">
        <v>19</v>
      </c>
      <c r="G32" s="34">
        <f t="shared" si="5"/>
        <v>0</v>
      </c>
      <c r="H32" s="67" t="s">
        <v>19</v>
      </c>
      <c r="I32" s="34">
        <f t="shared" si="6"/>
        <v>0</v>
      </c>
      <c r="J32" s="67" t="s">
        <v>19</v>
      </c>
      <c r="K32" s="113">
        <v>0</v>
      </c>
      <c r="L32" s="67" t="s">
        <v>19</v>
      </c>
      <c r="M32" s="238">
        <v>0</v>
      </c>
      <c r="N32" s="44" t="s">
        <v>19</v>
      </c>
      <c r="O32" s="45">
        <f t="shared" si="7"/>
        <v>0</v>
      </c>
      <c r="P32" s="141" t="s">
        <v>19</v>
      </c>
      <c r="Q32" s="113">
        <f t="shared" si="8"/>
        <v>0</v>
      </c>
    </row>
    <row r="33" spans="1:17" ht="13.5" customHeight="1" x14ac:dyDescent="0.25">
      <c r="A33" s="40" t="s">
        <v>530</v>
      </c>
      <c r="B33" s="93" t="s">
        <v>525</v>
      </c>
      <c r="C33" s="69">
        <v>503499</v>
      </c>
      <c r="D33" s="69"/>
      <c r="E33" s="94" t="str">
        <f t="shared" si="0"/>
        <v>00109090503499</v>
      </c>
      <c r="F33" s="42" t="s">
        <v>19</v>
      </c>
      <c r="G33" s="34">
        <f t="shared" si="5"/>
        <v>0</v>
      </c>
      <c r="H33" s="67" t="s">
        <v>19</v>
      </c>
      <c r="I33" s="34">
        <f t="shared" si="6"/>
        <v>0</v>
      </c>
      <c r="J33" s="67" t="s">
        <v>19</v>
      </c>
      <c r="K33" s="113">
        <v>0</v>
      </c>
      <c r="L33" s="67" t="s">
        <v>19</v>
      </c>
      <c r="M33" s="238">
        <v>0</v>
      </c>
      <c r="N33" s="44" t="s">
        <v>19</v>
      </c>
      <c r="O33" s="45">
        <f t="shared" si="7"/>
        <v>0</v>
      </c>
      <c r="P33" s="141" t="s">
        <v>19</v>
      </c>
      <c r="Q33" s="113">
        <f t="shared" si="8"/>
        <v>0</v>
      </c>
    </row>
    <row r="34" spans="1:17" ht="13.5" customHeight="1" x14ac:dyDescent="0.25">
      <c r="A34" s="40" t="s">
        <v>59</v>
      </c>
      <c r="B34" s="93" t="s">
        <v>525</v>
      </c>
      <c r="C34" s="69">
        <v>503901</v>
      </c>
      <c r="D34" s="69"/>
      <c r="E34" s="94" t="str">
        <f t="shared" si="0"/>
        <v>00109090503901</v>
      </c>
      <c r="F34" s="42" t="s">
        <v>19</v>
      </c>
      <c r="G34" s="34">
        <f t="shared" si="5"/>
        <v>0</v>
      </c>
      <c r="H34" s="67" t="s">
        <v>19</v>
      </c>
      <c r="I34" s="34">
        <f t="shared" si="6"/>
        <v>0</v>
      </c>
      <c r="J34" s="67" t="s">
        <v>19</v>
      </c>
      <c r="K34" s="113">
        <v>0</v>
      </c>
      <c r="L34" s="67" t="s">
        <v>19</v>
      </c>
      <c r="M34" s="238">
        <v>0</v>
      </c>
      <c r="N34" s="44" t="s">
        <v>19</v>
      </c>
      <c r="O34" s="45">
        <f t="shared" si="7"/>
        <v>0</v>
      </c>
      <c r="P34" s="141" t="s">
        <v>19</v>
      </c>
      <c r="Q34" s="113">
        <f t="shared" si="8"/>
        <v>0</v>
      </c>
    </row>
    <row r="35" spans="1:17" ht="12.95" customHeight="1" x14ac:dyDescent="0.25">
      <c r="A35" s="40" t="s">
        <v>339</v>
      </c>
      <c r="B35" s="93" t="s">
        <v>525</v>
      </c>
      <c r="C35" s="69"/>
      <c r="D35" s="69"/>
      <c r="E35" s="94" t="str">
        <f t="shared" si="0"/>
        <v>00109090</v>
      </c>
      <c r="F35" s="42" t="s">
        <v>19</v>
      </c>
      <c r="G35" s="34">
        <f t="shared" si="5"/>
        <v>0</v>
      </c>
      <c r="H35" s="67" t="s">
        <v>19</v>
      </c>
      <c r="I35" s="34">
        <f t="shared" si="6"/>
        <v>0</v>
      </c>
      <c r="J35" s="67" t="s">
        <v>19</v>
      </c>
      <c r="K35" s="113">
        <v>0</v>
      </c>
      <c r="L35" s="67" t="s">
        <v>19</v>
      </c>
      <c r="M35" s="238">
        <v>0</v>
      </c>
      <c r="N35" s="44" t="s">
        <v>19</v>
      </c>
      <c r="O35" s="45">
        <f>M35</f>
        <v>0</v>
      </c>
      <c r="P35" s="141" t="s">
        <v>19</v>
      </c>
      <c r="Q35" s="113">
        <f t="shared" si="8"/>
        <v>0</v>
      </c>
    </row>
    <row r="36" spans="1:17" ht="12.95" customHeight="1" x14ac:dyDescent="0.25">
      <c r="A36" s="40" t="s">
        <v>61</v>
      </c>
      <c r="B36" s="93" t="s">
        <v>525</v>
      </c>
      <c r="C36" s="69">
        <v>504060</v>
      </c>
      <c r="D36" s="69"/>
      <c r="E36" s="94" t="str">
        <f t="shared" si="0"/>
        <v>00109090504060</v>
      </c>
      <c r="G36" s="34">
        <f t="shared" si="5"/>
        <v>0</v>
      </c>
      <c r="H36" s="43"/>
      <c r="I36" s="34">
        <f t="shared" si="6"/>
        <v>0</v>
      </c>
      <c r="J36" s="43"/>
      <c r="K36" s="113">
        <v>750</v>
      </c>
      <c r="L36" s="43"/>
      <c r="M36" s="238">
        <v>750</v>
      </c>
      <c r="N36" s="44"/>
      <c r="O36" s="45">
        <f t="shared" si="7"/>
        <v>750</v>
      </c>
      <c r="P36" s="141"/>
      <c r="Q36" s="113">
        <f t="shared" si="8"/>
        <v>750</v>
      </c>
    </row>
    <row r="37" spans="1:17" ht="13.5" customHeight="1" x14ac:dyDescent="0.25">
      <c r="A37" s="40" t="s">
        <v>531</v>
      </c>
      <c r="B37" s="93" t="s">
        <v>525</v>
      </c>
      <c r="C37" s="69">
        <v>504070</v>
      </c>
      <c r="D37" s="69"/>
      <c r="E37" s="94" t="str">
        <f t="shared" si="0"/>
        <v>00109090504070</v>
      </c>
      <c r="G37" s="34">
        <f t="shared" si="5"/>
        <v>0</v>
      </c>
      <c r="H37" s="43"/>
      <c r="I37" s="34">
        <f t="shared" si="6"/>
        <v>0</v>
      </c>
      <c r="J37" s="43"/>
      <c r="K37" s="113">
        <v>0</v>
      </c>
      <c r="L37" s="43"/>
      <c r="M37" s="238">
        <v>0</v>
      </c>
      <c r="N37" s="44"/>
      <c r="O37" s="45">
        <f t="shared" si="7"/>
        <v>0</v>
      </c>
      <c r="P37" s="141"/>
      <c r="Q37" s="113">
        <f t="shared" si="8"/>
        <v>0</v>
      </c>
    </row>
    <row r="38" spans="1:17" ht="12.95" customHeight="1" x14ac:dyDescent="0.25">
      <c r="A38" s="40" t="s">
        <v>66</v>
      </c>
      <c r="B38" s="93" t="s">
        <v>525</v>
      </c>
      <c r="C38" s="42">
        <v>504450</v>
      </c>
      <c r="D38" s="42"/>
      <c r="E38" s="94" t="str">
        <f t="shared" si="0"/>
        <v>00109090504450</v>
      </c>
      <c r="G38" s="34">
        <f t="shared" si="5"/>
        <v>1434</v>
      </c>
      <c r="H38" s="43"/>
      <c r="I38" s="34">
        <f t="shared" si="6"/>
        <v>1243</v>
      </c>
      <c r="J38" s="43"/>
      <c r="K38" s="113">
        <v>0</v>
      </c>
      <c r="L38" s="43"/>
      <c r="M38" s="238">
        <v>0</v>
      </c>
      <c r="N38" s="44"/>
      <c r="O38" s="45">
        <f t="shared" si="7"/>
        <v>0</v>
      </c>
      <c r="P38" s="141"/>
      <c r="Q38" s="113">
        <f t="shared" si="8"/>
        <v>0</v>
      </c>
    </row>
    <row r="39" spans="1:17" ht="12.95" customHeight="1" x14ac:dyDescent="0.25">
      <c r="A39" s="60" t="s">
        <v>532</v>
      </c>
      <c r="B39" s="93" t="s">
        <v>525</v>
      </c>
      <c r="E39" s="94" t="str">
        <f t="shared" si="0"/>
        <v>00109090</v>
      </c>
      <c r="G39" s="34">
        <f t="shared" si="5"/>
        <v>0</v>
      </c>
      <c r="H39" s="67"/>
      <c r="I39" s="34">
        <f t="shared" si="6"/>
        <v>0</v>
      </c>
      <c r="J39" s="67"/>
      <c r="K39" s="45">
        <v>1750</v>
      </c>
      <c r="L39" s="67"/>
      <c r="M39" s="234">
        <v>1750</v>
      </c>
      <c r="N39" s="44"/>
      <c r="O39" s="45">
        <f t="shared" si="7"/>
        <v>1750</v>
      </c>
      <c r="P39" s="141"/>
      <c r="Q39" s="113">
        <f t="shared" si="8"/>
        <v>1750</v>
      </c>
    </row>
    <row r="40" spans="1:17" ht="12.95" customHeight="1" x14ac:dyDescent="0.25">
      <c r="A40" s="40" t="s">
        <v>229</v>
      </c>
      <c r="B40" s="93" t="s">
        <v>525</v>
      </c>
      <c r="C40" s="69">
        <v>504601</v>
      </c>
      <c r="D40" s="69"/>
      <c r="E40" s="94" t="str">
        <f t="shared" si="0"/>
        <v>00109090504601</v>
      </c>
      <c r="G40" s="34">
        <f t="shared" si="5"/>
        <v>2060</v>
      </c>
      <c r="H40" s="67"/>
      <c r="I40" s="34">
        <f t="shared" si="6"/>
        <v>7247</v>
      </c>
      <c r="J40" s="67"/>
      <c r="K40" s="113">
        <v>8000</v>
      </c>
      <c r="L40" s="67"/>
      <c r="M40" s="238">
        <v>8000</v>
      </c>
      <c r="N40" s="44"/>
      <c r="O40" s="45">
        <f t="shared" si="7"/>
        <v>8000</v>
      </c>
      <c r="P40" s="141"/>
      <c r="Q40" s="113">
        <f t="shared" si="8"/>
        <v>8000</v>
      </c>
    </row>
    <row r="41" spans="1:17" ht="12.95" customHeight="1" x14ac:dyDescent="0.25">
      <c r="A41" s="60" t="s">
        <v>129</v>
      </c>
      <c r="B41" s="93" t="s">
        <v>525</v>
      </c>
      <c r="C41" s="69"/>
      <c r="D41" s="69"/>
      <c r="E41" s="94" t="str">
        <f t="shared" si="0"/>
        <v>00109090</v>
      </c>
      <c r="G41" s="34">
        <f t="shared" si="5"/>
        <v>0</v>
      </c>
      <c r="H41" s="67"/>
      <c r="I41" s="34">
        <f t="shared" si="6"/>
        <v>0</v>
      </c>
      <c r="J41" s="67"/>
      <c r="K41" s="113">
        <v>2000</v>
      </c>
      <c r="L41" s="67"/>
      <c r="M41" s="238">
        <v>2000</v>
      </c>
      <c r="N41" s="44"/>
      <c r="O41" s="45">
        <f t="shared" si="7"/>
        <v>2000</v>
      </c>
      <c r="P41" s="141"/>
      <c r="Q41" s="113">
        <f t="shared" si="8"/>
        <v>2000</v>
      </c>
    </row>
    <row r="42" spans="1:17" ht="12.95" customHeight="1" x14ac:dyDescent="0.25">
      <c r="A42" s="40" t="s">
        <v>130</v>
      </c>
      <c r="B42" s="93" t="s">
        <v>525</v>
      </c>
      <c r="C42" s="69">
        <v>504602</v>
      </c>
      <c r="D42" s="69"/>
      <c r="E42" s="94" t="str">
        <f t="shared" si="0"/>
        <v>00109090504602</v>
      </c>
      <c r="G42" s="34">
        <f t="shared" si="5"/>
        <v>7465</v>
      </c>
      <c r="H42" s="67"/>
      <c r="I42" s="34">
        <f t="shared" si="6"/>
        <v>11931</v>
      </c>
      <c r="J42" s="67"/>
      <c r="K42" s="113">
        <v>0</v>
      </c>
      <c r="L42" s="67"/>
      <c r="M42" s="238">
        <v>0</v>
      </c>
      <c r="N42" s="44"/>
      <c r="O42" s="45">
        <f t="shared" si="7"/>
        <v>0</v>
      </c>
      <c r="P42" s="141"/>
      <c r="Q42" s="113">
        <f t="shared" si="8"/>
        <v>0</v>
      </c>
    </row>
    <row r="43" spans="1:17" ht="12.95" customHeight="1" x14ac:dyDescent="0.25">
      <c r="A43" s="60" t="s">
        <v>533</v>
      </c>
      <c r="B43" s="93" t="s">
        <v>525</v>
      </c>
      <c r="C43" s="69"/>
      <c r="D43" s="69"/>
      <c r="E43" s="94" t="str">
        <f t="shared" si="0"/>
        <v>00109090</v>
      </c>
      <c r="G43" s="34">
        <f t="shared" si="5"/>
        <v>0</v>
      </c>
      <c r="H43" s="67"/>
      <c r="I43" s="34">
        <f t="shared" si="6"/>
        <v>0</v>
      </c>
      <c r="J43" s="67"/>
      <c r="K43" s="113">
        <v>10000</v>
      </c>
      <c r="L43" s="67"/>
      <c r="M43" s="238">
        <v>10000</v>
      </c>
      <c r="N43" s="44"/>
      <c r="O43" s="45">
        <f t="shared" si="7"/>
        <v>10000</v>
      </c>
      <c r="P43" s="141"/>
      <c r="Q43" s="113">
        <f t="shared" si="8"/>
        <v>10000</v>
      </c>
    </row>
    <row r="44" spans="1:17" ht="13.5" customHeight="1" x14ac:dyDescent="0.25">
      <c r="A44" s="40" t="s">
        <v>534</v>
      </c>
      <c r="B44" s="93" t="s">
        <v>525</v>
      </c>
      <c r="C44" s="69">
        <v>504615</v>
      </c>
      <c r="D44" s="69"/>
      <c r="E44" s="94" t="str">
        <f t="shared" si="0"/>
        <v>00109090504615</v>
      </c>
      <c r="G44" s="34">
        <f t="shared" si="5"/>
        <v>0</v>
      </c>
      <c r="H44" s="43"/>
      <c r="I44" s="34">
        <f t="shared" si="6"/>
        <v>0</v>
      </c>
      <c r="J44" s="43"/>
      <c r="K44" s="113">
        <v>0</v>
      </c>
      <c r="L44" s="43"/>
      <c r="M44" s="238">
        <v>0</v>
      </c>
      <c r="N44" s="44"/>
      <c r="O44" s="45">
        <f t="shared" si="7"/>
        <v>0</v>
      </c>
      <c r="P44" s="141"/>
      <c r="Q44" s="113">
        <f t="shared" si="8"/>
        <v>0</v>
      </c>
    </row>
    <row r="45" spans="1:17" ht="12.95" customHeight="1" x14ac:dyDescent="0.25">
      <c r="A45" s="40" t="s">
        <v>135</v>
      </c>
      <c r="B45" s="93" t="s">
        <v>525</v>
      </c>
      <c r="C45" s="69">
        <v>504620</v>
      </c>
      <c r="D45" s="69"/>
      <c r="E45" s="94" t="str">
        <f t="shared" si="0"/>
        <v>00109090504620</v>
      </c>
      <c r="G45" s="34">
        <f t="shared" si="5"/>
        <v>209</v>
      </c>
      <c r="H45" s="67"/>
      <c r="I45" s="34">
        <f t="shared" si="6"/>
        <v>0</v>
      </c>
      <c r="J45" s="67"/>
      <c r="K45" s="45">
        <v>1500</v>
      </c>
      <c r="L45" s="67"/>
      <c r="M45" s="234">
        <v>1500</v>
      </c>
      <c r="N45" s="44"/>
      <c r="O45" s="45">
        <f t="shared" si="7"/>
        <v>1500</v>
      </c>
      <c r="P45" s="141"/>
      <c r="Q45" s="113">
        <f t="shared" si="8"/>
        <v>1500</v>
      </c>
    </row>
    <row r="46" spans="1:17" ht="12.95" customHeight="1" x14ac:dyDescent="0.25">
      <c r="A46" s="60" t="s">
        <v>136</v>
      </c>
      <c r="B46" s="93" t="s">
        <v>525</v>
      </c>
      <c r="C46" s="69"/>
      <c r="D46" s="69"/>
      <c r="E46" s="94" t="str">
        <f t="shared" si="0"/>
        <v>00109090</v>
      </c>
      <c r="G46" s="34">
        <f t="shared" si="5"/>
        <v>0</v>
      </c>
      <c r="H46" s="67"/>
      <c r="I46" s="34">
        <f t="shared" si="6"/>
        <v>0</v>
      </c>
      <c r="J46" s="67"/>
      <c r="K46" s="45">
        <v>5000</v>
      </c>
      <c r="L46" s="67"/>
      <c r="M46" s="234">
        <v>5000</v>
      </c>
      <c r="N46" s="44"/>
      <c r="O46" s="45">
        <f t="shared" si="7"/>
        <v>5000</v>
      </c>
      <c r="P46" s="141"/>
      <c r="Q46" s="113">
        <f t="shared" si="8"/>
        <v>5000</v>
      </c>
    </row>
    <row r="47" spans="1:17" ht="12.95" customHeight="1" x14ac:dyDescent="0.25">
      <c r="A47" s="60" t="s">
        <v>535</v>
      </c>
      <c r="B47" s="93" t="s">
        <v>525</v>
      </c>
      <c r="C47" s="69"/>
      <c r="D47" s="69"/>
      <c r="E47" s="94" t="str">
        <f t="shared" si="0"/>
        <v>00109090</v>
      </c>
      <c r="G47" s="34">
        <f t="shared" si="5"/>
        <v>0</v>
      </c>
      <c r="H47" s="67"/>
      <c r="I47" s="34">
        <f t="shared" si="6"/>
        <v>0</v>
      </c>
      <c r="J47" s="67"/>
      <c r="K47" s="45">
        <v>5000</v>
      </c>
      <c r="L47" s="67"/>
      <c r="M47" s="234">
        <v>5000</v>
      </c>
      <c r="N47" s="44"/>
      <c r="O47" s="45">
        <f t="shared" si="7"/>
        <v>5000</v>
      </c>
      <c r="P47" s="141"/>
      <c r="Q47" s="113">
        <f t="shared" si="8"/>
        <v>5000</v>
      </c>
    </row>
    <row r="48" spans="1:17" ht="12.95" customHeight="1" x14ac:dyDescent="0.25">
      <c r="A48" s="40" t="s">
        <v>139</v>
      </c>
      <c r="B48" s="93" t="s">
        <v>525</v>
      </c>
      <c r="D48" s="69"/>
      <c r="E48" s="94" t="str">
        <f t="shared" si="0"/>
        <v>00109090</v>
      </c>
      <c r="G48" s="34">
        <f t="shared" si="5"/>
        <v>0</v>
      </c>
      <c r="H48" s="67"/>
      <c r="I48" s="34">
        <f t="shared" si="6"/>
        <v>0</v>
      </c>
      <c r="J48" s="67"/>
      <c r="K48" s="113"/>
      <c r="L48" s="67"/>
      <c r="M48" s="238"/>
      <c r="N48" s="44"/>
      <c r="O48" s="45"/>
      <c r="P48" s="141"/>
      <c r="Q48" s="113"/>
    </row>
    <row r="49" spans="1:17" ht="12.95" customHeight="1" x14ac:dyDescent="0.25">
      <c r="A49" s="60" t="s">
        <v>536</v>
      </c>
      <c r="B49" s="93" t="s">
        <v>525</v>
      </c>
      <c r="C49" s="69">
        <v>504675</v>
      </c>
      <c r="D49" s="69"/>
      <c r="E49" s="94" t="str">
        <f t="shared" si="0"/>
        <v>00109090504675</v>
      </c>
      <c r="G49" s="34">
        <f t="shared" si="5"/>
        <v>0</v>
      </c>
      <c r="H49" s="67"/>
      <c r="I49" s="34">
        <f t="shared" si="6"/>
        <v>0</v>
      </c>
      <c r="J49" s="67"/>
      <c r="K49" s="113">
        <v>3000</v>
      </c>
      <c r="L49" s="67"/>
      <c r="M49" s="238">
        <v>3000</v>
      </c>
      <c r="N49" s="44"/>
      <c r="O49" s="45">
        <f t="shared" si="7"/>
        <v>3000</v>
      </c>
      <c r="P49" s="141"/>
      <c r="Q49" s="113">
        <f t="shared" si="8"/>
        <v>3000</v>
      </c>
    </row>
    <row r="50" spans="1:17" ht="12.95" customHeight="1" x14ac:dyDescent="0.25">
      <c r="A50" s="40" t="s">
        <v>67</v>
      </c>
      <c r="B50" s="93" t="s">
        <v>525</v>
      </c>
      <c r="C50" s="69">
        <v>504710</v>
      </c>
      <c r="D50" s="69"/>
      <c r="E50" s="94" t="str">
        <f t="shared" si="0"/>
        <v>00109090504710</v>
      </c>
      <c r="G50" s="34">
        <f t="shared" si="5"/>
        <v>429</v>
      </c>
      <c r="H50" s="67"/>
      <c r="I50" s="34">
        <f t="shared" si="6"/>
        <v>298</v>
      </c>
      <c r="J50" s="67"/>
      <c r="K50" s="113">
        <v>1000</v>
      </c>
      <c r="L50" s="67"/>
      <c r="M50" s="238">
        <v>1000</v>
      </c>
      <c r="N50" s="44"/>
      <c r="O50" s="45">
        <f t="shared" si="7"/>
        <v>1000</v>
      </c>
      <c r="P50" s="141"/>
      <c r="Q50" s="113">
        <f t="shared" si="8"/>
        <v>1000</v>
      </c>
    </row>
    <row r="51" spans="1:17" ht="12.95" customHeight="1" x14ac:dyDescent="0.25">
      <c r="A51" s="40" t="s">
        <v>233</v>
      </c>
      <c r="B51" s="93" t="s">
        <v>525</v>
      </c>
      <c r="C51" s="69">
        <v>504810</v>
      </c>
      <c r="D51" s="69"/>
      <c r="E51" s="94" t="str">
        <f t="shared" si="0"/>
        <v>00109090504810</v>
      </c>
      <c r="G51" s="34">
        <f t="shared" si="5"/>
        <v>0</v>
      </c>
      <c r="H51" s="67"/>
      <c r="I51" s="34">
        <f t="shared" si="6"/>
        <v>0</v>
      </c>
      <c r="J51" s="67"/>
      <c r="K51" s="113">
        <v>1500</v>
      </c>
      <c r="L51" s="67"/>
      <c r="M51" s="238">
        <v>1500</v>
      </c>
      <c r="N51" s="44"/>
      <c r="O51" s="45">
        <f t="shared" si="7"/>
        <v>1500</v>
      </c>
      <c r="P51" s="141"/>
      <c r="Q51" s="113">
        <f t="shared" si="8"/>
        <v>1500</v>
      </c>
    </row>
    <row r="52" spans="1:17" ht="13.5" customHeight="1" x14ac:dyDescent="0.25">
      <c r="A52" s="40" t="s">
        <v>68</v>
      </c>
      <c r="B52" s="93" t="s">
        <v>525</v>
      </c>
      <c r="C52" s="69">
        <v>505101</v>
      </c>
      <c r="D52" s="69"/>
      <c r="E52" s="94" t="str">
        <f t="shared" si="0"/>
        <v>00109090505101</v>
      </c>
      <c r="G52" s="34">
        <f t="shared" si="5"/>
        <v>0</v>
      </c>
      <c r="H52" s="43"/>
      <c r="I52" s="34">
        <f t="shared" si="6"/>
        <v>0</v>
      </c>
      <c r="J52" s="43"/>
      <c r="K52" s="113">
        <v>0</v>
      </c>
      <c r="L52" s="43"/>
      <c r="M52" s="238">
        <v>0</v>
      </c>
      <c r="N52" s="44"/>
      <c r="O52" s="45">
        <f t="shared" si="7"/>
        <v>0</v>
      </c>
      <c r="P52" s="141"/>
      <c r="Q52" s="113">
        <f t="shared" si="8"/>
        <v>0</v>
      </c>
    </row>
    <row r="53" spans="1:17" ht="12.95" customHeight="1" x14ac:dyDescent="0.25">
      <c r="A53" s="40" t="s">
        <v>69</v>
      </c>
      <c r="B53" s="93" t="s">
        <v>525</v>
      </c>
      <c r="C53" s="69">
        <v>505201</v>
      </c>
      <c r="D53" s="69"/>
      <c r="E53" s="94" t="str">
        <f t="shared" si="0"/>
        <v>00109090505201</v>
      </c>
      <c r="G53" s="34">
        <f t="shared" si="5"/>
        <v>12624</v>
      </c>
      <c r="H53" s="67"/>
      <c r="I53" s="34">
        <f t="shared" si="6"/>
        <v>12488</v>
      </c>
      <c r="J53" s="67"/>
      <c r="K53" s="113">
        <v>14000</v>
      </c>
      <c r="L53" s="67"/>
      <c r="M53" s="238">
        <v>14000</v>
      </c>
      <c r="N53" s="44"/>
      <c r="O53" s="45">
        <f t="shared" si="7"/>
        <v>14000</v>
      </c>
      <c r="P53" s="141"/>
      <c r="Q53" s="113">
        <f t="shared" si="8"/>
        <v>14000</v>
      </c>
    </row>
    <row r="54" spans="1:17" ht="12.95" customHeight="1" x14ac:dyDescent="0.25">
      <c r="A54" s="40" t="s">
        <v>537</v>
      </c>
      <c r="B54" s="93" t="s">
        <v>525</v>
      </c>
      <c r="C54" s="69">
        <v>505210</v>
      </c>
      <c r="D54" s="69"/>
      <c r="E54" s="94" t="str">
        <f t="shared" si="0"/>
        <v>00109090505210</v>
      </c>
      <c r="G54" s="34">
        <f t="shared" si="5"/>
        <v>0</v>
      </c>
      <c r="H54" s="67"/>
      <c r="I54" s="34">
        <f t="shared" si="6"/>
        <v>63</v>
      </c>
      <c r="J54" s="67"/>
      <c r="K54" s="113">
        <v>0</v>
      </c>
      <c r="L54" s="67"/>
      <c r="M54" s="238">
        <v>0</v>
      </c>
      <c r="N54" s="44"/>
      <c r="O54" s="45">
        <f t="shared" si="7"/>
        <v>0</v>
      </c>
      <c r="P54" s="141"/>
      <c r="Q54" s="113">
        <f t="shared" si="8"/>
        <v>0</v>
      </c>
    </row>
    <row r="55" spans="1:17" ht="13.5" customHeight="1" x14ac:dyDescent="0.25">
      <c r="A55" s="40" t="s">
        <v>70</v>
      </c>
      <c r="B55" s="93" t="s">
        <v>525</v>
      </c>
      <c r="C55" s="69">
        <v>505260</v>
      </c>
      <c r="D55" s="69"/>
      <c r="E55" s="94" t="str">
        <f t="shared" si="0"/>
        <v>00109090505260</v>
      </c>
      <c r="G55" s="34">
        <f t="shared" si="5"/>
        <v>0</v>
      </c>
      <c r="H55" s="43"/>
      <c r="I55" s="34">
        <f t="shared" si="6"/>
        <v>0</v>
      </c>
      <c r="J55" s="43"/>
      <c r="K55" s="113">
        <v>0</v>
      </c>
      <c r="L55" s="43"/>
      <c r="M55" s="238">
        <v>0</v>
      </c>
      <c r="N55" s="44"/>
      <c r="O55" s="45">
        <f t="shared" si="7"/>
        <v>0</v>
      </c>
      <c r="P55" s="141"/>
      <c r="Q55" s="113">
        <f t="shared" si="8"/>
        <v>0</v>
      </c>
    </row>
    <row r="56" spans="1:17" ht="13.5" customHeight="1" x14ac:dyDescent="0.25">
      <c r="A56" s="40" t="s">
        <v>538</v>
      </c>
      <c r="B56" s="93" t="s">
        <v>525</v>
      </c>
      <c r="C56" s="69">
        <v>505285</v>
      </c>
      <c r="D56" s="69"/>
      <c r="E56" s="94" t="str">
        <f t="shared" si="0"/>
        <v>00109090505285</v>
      </c>
      <c r="G56" s="34">
        <f t="shared" si="5"/>
        <v>0</v>
      </c>
      <c r="H56" s="67"/>
      <c r="I56" s="34">
        <f t="shared" si="6"/>
        <v>0</v>
      </c>
      <c r="J56" s="67"/>
      <c r="K56" s="113">
        <v>0</v>
      </c>
      <c r="L56" s="67"/>
      <c r="M56" s="238">
        <v>0</v>
      </c>
      <c r="N56" s="44"/>
      <c r="O56" s="45">
        <f t="shared" si="7"/>
        <v>0</v>
      </c>
      <c r="P56" s="141"/>
      <c r="Q56" s="113">
        <f t="shared" si="8"/>
        <v>0</v>
      </c>
    </row>
    <row r="57" spans="1:17" ht="12.95" customHeight="1" x14ac:dyDescent="0.25">
      <c r="A57" s="40" t="s">
        <v>368</v>
      </c>
      <c r="B57" s="93" t="s">
        <v>525</v>
      </c>
      <c r="C57" s="69"/>
      <c r="D57" s="69"/>
      <c r="E57" s="94" t="str">
        <f t="shared" si="0"/>
        <v>00109090</v>
      </c>
      <c r="G57" s="34">
        <f t="shared" si="5"/>
        <v>0</v>
      </c>
      <c r="H57" s="67"/>
      <c r="I57" s="34">
        <f t="shared" si="6"/>
        <v>0</v>
      </c>
      <c r="J57" s="67"/>
      <c r="K57" s="45">
        <v>0</v>
      </c>
      <c r="L57" s="67"/>
      <c r="M57" s="234">
        <v>0</v>
      </c>
      <c r="N57" s="44"/>
      <c r="O57" s="45">
        <f t="shared" si="7"/>
        <v>0</v>
      </c>
      <c r="P57" s="141"/>
      <c r="Q57" s="113">
        <f t="shared" si="8"/>
        <v>0</v>
      </c>
    </row>
    <row r="58" spans="1:17" ht="12.95" customHeight="1" x14ac:dyDescent="0.25">
      <c r="A58" s="40" t="s">
        <v>143</v>
      </c>
      <c r="B58" s="93" t="s">
        <v>525</v>
      </c>
      <c r="C58" s="69">
        <v>505505</v>
      </c>
      <c r="D58" s="69"/>
      <c r="E58" s="94" t="str">
        <f t="shared" si="0"/>
        <v>00109090505505</v>
      </c>
      <c r="G58" s="34">
        <f t="shared" si="5"/>
        <v>1199</v>
      </c>
      <c r="H58" s="67"/>
      <c r="I58" s="34">
        <f t="shared" si="6"/>
        <v>772</v>
      </c>
      <c r="J58" s="67"/>
      <c r="K58" s="45">
        <v>1200</v>
      </c>
      <c r="L58" s="67"/>
      <c r="M58" s="234">
        <v>1200</v>
      </c>
      <c r="N58" s="44"/>
      <c r="O58" s="45">
        <f t="shared" si="7"/>
        <v>1200</v>
      </c>
      <c r="P58" s="141"/>
      <c r="Q58" s="113">
        <f t="shared" si="8"/>
        <v>1200</v>
      </c>
    </row>
    <row r="59" spans="1:17" ht="12.95" customHeight="1" x14ac:dyDescent="0.25">
      <c r="A59" s="40" t="s">
        <v>144</v>
      </c>
      <c r="B59" s="93" t="s">
        <v>525</v>
      </c>
      <c r="C59" s="69">
        <v>505532</v>
      </c>
      <c r="D59" s="69"/>
      <c r="E59" s="94" t="str">
        <f t="shared" si="0"/>
        <v>00109090505532</v>
      </c>
      <c r="G59" s="34">
        <f>ROUND(IFERROR(VLOOKUP(_xlfn.CONCAT($B59,$C59,$D59),$A$75:$C$9994,3,FALSE),0),0)+1</f>
        <v>154</v>
      </c>
      <c r="H59" s="67"/>
      <c r="I59" s="34">
        <f>ROUND(IFERROR(VLOOKUP(_xlfn.CONCAT($B59,$C59,$D59),$A$75:$C$9994,2,FALSE),0),0)+2</f>
        <v>338</v>
      </c>
      <c r="J59" s="67"/>
      <c r="K59" s="45">
        <v>825</v>
      </c>
      <c r="L59" s="67"/>
      <c r="M59" s="234">
        <v>825</v>
      </c>
      <c r="N59" s="44"/>
      <c r="O59" s="45">
        <f t="shared" si="7"/>
        <v>825</v>
      </c>
      <c r="P59" s="141"/>
      <c r="Q59" s="113">
        <f t="shared" si="8"/>
        <v>825</v>
      </c>
    </row>
    <row r="60" spans="1:17" ht="12.95" customHeight="1" x14ac:dyDescent="0.25">
      <c r="A60" s="40" t="s">
        <v>145</v>
      </c>
      <c r="B60" s="93" t="s">
        <v>525</v>
      </c>
      <c r="C60" s="69">
        <v>505540</v>
      </c>
      <c r="D60" s="69"/>
      <c r="E60" s="94" t="str">
        <f t="shared" si="0"/>
        <v>00109090505540</v>
      </c>
      <c r="G60" s="34">
        <f t="shared" si="5"/>
        <v>0</v>
      </c>
      <c r="H60" s="67"/>
      <c r="I60" s="34">
        <f t="shared" si="6"/>
        <v>0</v>
      </c>
      <c r="J60" s="67"/>
      <c r="K60" s="45">
        <v>500</v>
      </c>
      <c r="L60" s="67"/>
      <c r="M60" s="234">
        <v>500</v>
      </c>
      <c r="N60" s="44"/>
      <c r="O60" s="45">
        <f t="shared" si="7"/>
        <v>500</v>
      </c>
      <c r="P60" s="141"/>
      <c r="Q60" s="113">
        <f t="shared" si="8"/>
        <v>500</v>
      </c>
    </row>
    <row r="61" spans="1:17" ht="12.95" customHeight="1" x14ac:dyDescent="0.25">
      <c r="A61" s="40" t="s">
        <v>72</v>
      </c>
      <c r="B61" s="93" t="s">
        <v>525</v>
      </c>
      <c r="C61" s="69">
        <v>505550</v>
      </c>
      <c r="D61" s="69"/>
      <c r="E61" s="94" t="str">
        <f t="shared" si="0"/>
        <v>00109090505550</v>
      </c>
      <c r="G61" s="34">
        <f t="shared" si="5"/>
        <v>0</v>
      </c>
      <c r="H61" s="67"/>
      <c r="I61" s="34">
        <f t="shared" si="6"/>
        <v>0</v>
      </c>
      <c r="J61" s="67"/>
      <c r="K61" s="45">
        <v>3000</v>
      </c>
      <c r="L61" s="67"/>
      <c r="M61" s="234">
        <v>3000</v>
      </c>
      <c r="N61" s="44"/>
      <c r="O61" s="45">
        <f t="shared" si="7"/>
        <v>3000</v>
      </c>
      <c r="P61" s="141"/>
      <c r="Q61" s="113">
        <f t="shared" si="8"/>
        <v>3000</v>
      </c>
    </row>
    <row r="62" spans="1:17" ht="12.95" customHeight="1" x14ac:dyDescent="0.25">
      <c r="A62" s="40" t="s">
        <v>369</v>
      </c>
      <c r="B62" s="93" t="s">
        <v>525</v>
      </c>
      <c r="C62" s="69">
        <v>505701</v>
      </c>
      <c r="D62" s="69"/>
      <c r="E62" s="94" t="str">
        <f t="shared" si="0"/>
        <v>00109090505701</v>
      </c>
      <c r="G62" s="34">
        <f t="shared" si="5"/>
        <v>0</v>
      </c>
      <c r="H62" s="67" t="s">
        <v>4</v>
      </c>
      <c r="I62" s="34">
        <f t="shared" si="6"/>
        <v>0</v>
      </c>
      <c r="J62" s="67" t="s">
        <v>4</v>
      </c>
      <c r="K62" s="67">
        <v>800</v>
      </c>
      <c r="L62" s="67" t="s">
        <v>4</v>
      </c>
      <c r="M62" s="240">
        <v>800</v>
      </c>
      <c r="N62" s="44"/>
      <c r="O62" s="45">
        <f t="shared" si="7"/>
        <v>800</v>
      </c>
      <c r="P62" s="141"/>
      <c r="Q62" s="113">
        <f t="shared" si="8"/>
        <v>800</v>
      </c>
    </row>
    <row r="63" spans="1:17" ht="13.5" customHeight="1" x14ac:dyDescent="0.25">
      <c r="A63" s="40" t="s">
        <v>539</v>
      </c>
      <c r="B63" s="93" t="s">
        <v>525</v>
      </c>
      <c r="C63" s="69">
        <v>505715</v>
      </c>
      <c r="D63" s="69"/>
      <c r="E63" s="94" t="str">
        <f t="shared" si="0"/>
        <v>00109090505715</v>
      </c>
      <c r="G63" s="34">
        <f t="shared" si="5"/>
        <v>0</v>
      </c>
      <c r="H63" s="67"/>
      <c r="I63" s="34">
        <f t="shared" si="6"/>
        <v>0</v>
      </c>
      <c r="J63" s="67"/>
      <c r="K63" s="67">
        <v>0</v>
      </c>
      <c r="L63" s="67"/>
      <c r="M63" s="240">
        <v>0</v>
      </c>
      <c r="N63" s="44"/>
      <c r="O63" s="45">
        <f t="shared" si="7"/>
        <v>0</v>
      </c>
      <c r="P63" s="141"/>
      <c r="Q63" s="113">
        <f t="shared" si="8"/>
        <v>0</v>
      </c>
    </row>
    <row r="64" spans="1:17" ht="12.95" customHeight="1" x14ac:dyDescent="0.25">
      <c r="A64" s="40" t="s">
        <v>147</v>
      </c>
      <c r="B64" s="93" t="s">
        <v>525</v>
      </c>
      <c r="C64" s="69">
        <v>505750</v>
      </c>
      <c r="D64" s="69"/>
      <c r="E64" s="94" t="str">
        <f t="shared" si="0"/>
        <v>00109090505750</v>
      </c>
      <c r="G64" s="34">
        <f t="shared" si="5"/>
        <v>0</v>
      </c>
      <c r="H64" s="67" t="s">
        <v>4</v>
      </c>
      <c r="I64" s="34">
        <f t="shared" si="6"/>
        <v>1228</v>
      </c>
      <c r="J64" s="67" t="s">
        <v>4</v>
      </c>
      <c r="K64" s="67">
        <v>4950</v>
      </c>
      <c r="L64" s="67" t="s">
        <v>4</v>
      </c>
      <c r="M64" s="240">
        <v>4950</v>
      </c>
      <c r="N64" s="44"/>
      <c r="O64" s="45">
        <f t="shared" si="7"/>
        <v>4950</v>
      </c>
      <c r="P64" s="141"/>
      <c r="Q64" s="113">
        <f t="shared" si="8"/>
        <v>4950</v>
      </c>
    </row>
    <row r="65" spans="1:17" ht="13.5" customHeight="1" x14ac:dyDescent="0.25">
      <c r="A65" s="40" t="s">
        <v>74</v>
      </c>
      <c r="B65" s="93" t="s">
        <v>525</v>
      </c>
      <c r="C65" s="15">
        <v>505801</v>
      </c>
      <c r="E65" s="94" t="str">
        <f t="shared" si="0"/>
        <v>00109090505801</v>
      </c>
      <c r="G65" s="34">
        <f t="shared" si="5"/>
        <v>0</v>
      </c>
      <c r="H65" s="43"/>
      <c r="I65" s="34">
        <f t="shared" si="6"/>
        <v>0</v>
      </c>
      <c r="J65" s="43"/>
      <c r="K65" s="72">
        <v>0</v>
      </c>
      <c r="L65" s="43"/>
      <c r="M65" s="237">
        <v>0</v>
      </c>
      <c r="N65" s="39"/>
      <c r="O65" s="72">
        <f t="shared" si="7"/>
        <v>0</v>
      </c>
      <c r="Q65" s="113">
        <f t="shared" si="8"/>
        <v>0</v>
      </c>
    </row>
    <row r="66" spans="1:17" ht="13.5" customHeight="1" x14ac:dyDescent="0.25">
      <c r="A66" s="40"/>
      <c r="B66" s="70"/>
      <c r="G66" s="45"/>
      <c r="H66" s="43"/>
      <c r="I66" s="97"/>
      <c r="J66" s="43"/>
      <c r="K66" s="97"/>
      <c r="L66" s="43"/>
      <c r="M66" s="97"/>
      <c r="N66" s="39"/>
      <c r="O66" s="45"/>
      <c r="Q66" s="113"/>
    </row>
    <row r="67" spans="1:17" ht="20.100000000000001" customHeight="1" x14ac:dyDescent="0.25">
      <c r="A67" s="49" t="s">
        <v>75</v>
      </c>
      <c r="B67" s="50"/>
      <c r="F67" s="42" t="s">
        <v>19</v>
      </c>
      <c r="G67" s="98">
        <f>SUM(G30:G66)</f>
        <v>25574</v>
      </c>
      <c r="H67" s="42" t="s">
        <v>19</v>
      </c>
      <c r="I67" s="98">
        <f t="shared" ref="I67:Q67" si="9">SUM(I30:I66)</f>
        <v>35608</v>
      </c>
      <c r="J67" s="42" t="s">
        <v>19</v>
      </c>
      <c r="K67" s="98">
        <f t="shared" si="9"/>
        <v>64775</v>
      </c>
      <c r="L67" s="42" t="s">
        <v>19</v>
      </c>
      <c r="M67" s="98">
        <f>SUM(M30:M66)</f>
        <v>64775</v>
      </c>
      <c r="N67" s="42" t="s">
        <v>19</v>
      </c>
      <c r="O67" s="98">
        <f t="shared" si="9"/>
        <v>64775</v>
      </c>
      <c r="P67" s="42" t="s">
        <v>19</v>
      </c>
      <c r="Q67" s="98">
        <f t="shared" si="9"/>
        <v>64775</v>
      </c>
    </row>
    <row r="68" spans="1:17" ht="20.100000000000001" customHeight="1" thickBot="1" x14ac:dyDescent="0.3">
      <c r="A68" s="99" t="s">
        <v>76</v>
      </c>
      <c r="F68" s="42" t="s">
        <v>19</v>
      </c>
      <c r="G68" s="109">
        <f>+G67+G23</f>
        <v>195786</v>
      </c>
      <c r="H68" s="42" t="s">
        <v>19</v>
      </c>
      <c r="I68" s="109">
        <f>+I67+I23</f>
        <v>219406</v>
      </c>
      <c r="J68" s="42" t="s">
        <v>19</v>
      </c>
      <c r="K68" s="109">
        <f>+K67+K23</f>
        <v>278190</v>
      </c>
      <c r="L68" s="42" t="s">
        <v>19</v>
      </c>
      <c r="M68" s="109">
        <f>+M67+M23</f>
        <v>278190</v>
      </c>
      <c r="N68" s="141" t="s">
        <v>320</v>
      </c>
      <c r="O68" s="109">
        <f>+O67+O23</f>
        <v>278190</v>
      </c>
      <c r="P68" s="141" t="s">
        <v>19</v>
      </c>
      <c r="Q68" s="109">
        <f>+Q67+Q23</f>
        <v>278190</v>
      </c>
    </row>
    <row r="69" spans="1:17" ht="15.75" thickTop="1" x14ac:dyDescent="0.25">
      <c r="A69" s="16"/>
      <c r="B69" s="17"/>
      <c r="C69" s="16"/>
      <c r="D69" s="16"/>
      <c r="E69" s="5"/>
      <c r="F69" s="6"/>
      <c r="G69" s="36"/>
      <c r="H69" s="6"/>
      <c r="I69" s="36"/>
      <c r="J69" s="6"/>
      <c r="K69" s="36"/>
      <c r="L69" s="6"/>
      <c r="M69" s="36"/>
      <c r="N69" s="53"/>
      <c r="O69" s="36"/>
      <c r="Q69" s="36"/>
    </row>
    <row r="70" spans="1:17" hidden="1" x14ac:dyDescent="0.25">
      <c r="A70" s="28" t="s">
        <v>77</v>
      </c>
      <c r="G70" s="76">
        <v>195786</v>
      </c>
      <c r="I70" s="76">
        <v>219406</v>
      </c>
      <c r="J70" s="6"/>
      <c r="K70" s="36"/>
      <c r="L70" s="6"/>
      <c r="M70" s="36"/>
      <c r="N70" s="53"/>
      <c r="O70" s="36"/>
      <c r="Q70" s="36"/>
    </row>
    <row r="71" spans="1:17" hidden="1" x14ac:dyDescent="0.25">
      <c r="A71" s="28" t="s">
        <v>78</v>
      </c>
      <c r="G71" s="44">
        <f>G68-G70</f>
        <v>0</v>
      </c>
      <c r="H71" s="43"/>
      <c r="I71" s="44">
        <f>I68-I70</f>
        <v>0</v>
      </c>
      <c r="J71" s="6"/>
      <c r="K71" s="36"/>
      <c r="L71" s="6"/>
      <c r="M71" s="36"/>
      <c r="N71" s="53"/>
      <c r="O71" s="36"/>
      <c r="Q71" s="36"/>
    </row>
    <row r="72" spans="1:17" hidden="1" x14ac:dyDescent="0.25">
      <c r="A72" s="16"/>
      <c r="B72" s="17"/>
      <c r="C72" s="16"/>
      <c r="D72" s="16"/>
      <c r="E72" s="5"/>
      <c r="F72" s="6"/>
      <c r="G72" s="36"/>
      <c r="H72" s="6"/>
      <c r="I72" s="36"/>
      <c r="J72" s="6"/>
      <c r="K72" s="36"/>
      <c r="L72" s="6"/>
      <c r="M72" s="36"/>
      <c r="N72" s="53"/>
      <c r="O72" s="36"/>
      <c r="Q72" s="36"/>
    </row>
    <row r="73" spans="1:17" hidden="1" x14ac:dyDescent="0.25">
      <c r="G73" s="44"/>
      <c r="K73" s="44"/>
      <c r="M73" s="44"/>
      <c r="O73" s="44"/>
      <c r="Q73" s="44"/>
    </row>
    <row r="74" spans="1:17" hidden="1" x14ac:dyDescent="0.25">
      <c r="B74" s="29" t="s">
        <v>79</v>
      </c>
      <c r="C74" s="15" t="s">
        <v>80</v>
      </c>
      <c r="G74" s="77" t="s">
        <v>81</v>
      </c>
      <c r="I74" s="15"/>
    </row>
    <row r="75" spans="1:17" hidden="1" x14ac:dyDescent="0.25">
      <c r="A75" s="15" t="s">
        <v>540</v>
      </c>
      <c r="B75" s="29">
        <v>126239.14</v>
      </c>
      <c r="C75" s="15">
        <v>116538.67</v>
      </c>
      <c r="G75" s="15" t="str">
        <f>VLOOKUP(A75,E:E,1,FALSE)</f>
        <v>00109090501201</v>
      </c>
      <c r="I75" s="15"/>
    </row>
    <row r="76" spans="1:17" hidden="1" x14ac:dyDescent="0.25">
      <c r="A76" s="16" t="s">
        <v>541</v>
      </c>
      <c r="B76" s="17">
        <v>0</v>
      </c>
      <c r="C76" s="16">
        <v>0</v>
      </c>
      <c r="D76" s="16"/>
      <c r="E76" s="5"/>
      <c r="F76" s="6"/>
      <c r="G76" s="15" t="str">
        <f t="shared" ref="G76:G124" si="10">VLOOKUP(A76,E:E,1,FALSE)</f>
        <v>00109090501290</v>
      </c>
      <c r="H76" s="6"/>
      <c r="I76" s="36"/>
      <c r="J76" s="6"/>
      <c r="K76" s="36"/>
      <c r="L76" s="6"/>
      <c r="M76" s="36"/>
      <c r="N76" s="53"/>
      <c r="O76" s="36"/>
      <c r="Q76" s="36"/>
    </row>
    <row r="77" spans="1:17" hidden="1" x14ac:dyDescent="0.25">
      <c r="A77" s="16" t="s">
        <v>542</v>
      </c>
      <c r="B77" s="17">
        <v>0</v>
      </c>
      <c r="C77" s="16">
        <v>0</v>
      </c>
      <c r="D77" s="16"/>
      <c r="E77" s="5"/>
      <c r="F77" s="6"/>
      <c r="G77" s="15" t="e">
        <f t="shared" si="10"/>
        <v>#N/A</v>
      </c>
      <c r="H77" s="6"/>
      <c r="I77" s="36"/>
      <c r="J77" s="6"/>
      <c r="K77" s="36"/>
      <c r="L77" s="6"/>
      <c r="M77" s="36"/>
      <c r="N77" s="53"/>
      <c r="O77" s="36"/>
      <c r="Q77" s="36"/>
    </row>
    <row r="78" spans="1:17" hidden="1" x14ac:dyDescent="0.25">
      <c r="A78" s="15" t="s">
        <v>543</v>
      </c>
      <c r="B78" s="29">
        <v>6319.46</v>
      </c>
      <c r="C78" s="15">
        <v>2578.64</v>
      </c>
      <c r="G78" s="15" t="str">
        <f t="shared" si="10"/>
        <v>00109090501400</v>
      </c>
      <c r="K78" s="44"/>
      <c r="M78" s="44"/>
      <c r="O78" s="44"/>
      <c r="Q78" s="44"/>
    </row>
    <row r="79" spans="1:17" hidden="1" x14ac:dyDescent="0.25">
      <c r="A79" s="15" t="s">
        <v>544</v>
      </c>
      <c r="B79" s="29">
        <v>0</v>
      </c>
      <c r="C79" s="15">
        <v>0</v>
      </c>
      <c r="G79" s="15" t="str">
        <f t="shared" si="10"/>
        <v>00109090501401</v>
      </c>
      <c r="K79" s="44"/>
      <c r="M79" s="44"/>
      <c r="O79" s="44"/>
      <c r="Q79" s="44"/>
    </row>
    <row r="80" spans="1:17" hidden="1" x14ac:dyDescent="0.25">
      <c r="A80" s="15" t="s">
        <v>545</v>
      </c>
      <c r="B80" s="29">
        <v>3070.5</v>
      </c>
      <c r="C80" s="15">
        <v>4234.01</v>
      </c>
      <c r="G80" s="15" t="str">
        <f t="shared" si="10"/>
        <v>00109090501600</v>
      </c>
      <c r="K80" s="44"/>
      <c r="M80" s="44"/>
      <c r="O80" s="44"/>
      <c r="Q80" s="44"/>
    </row>
    <row r="81" spans="1:17" hidden="1" x14ac:dyDescent="0.25">
      <c r="A81" s="15" t="s">
        <v>546</v>
      </c>
      <c r="B81" s="29">
        <v>602.26</v>
      </c>
      <c r="C81" s="15">
        <v>348.34</v>
      </c>
      <c r="G81" s="15" t="str">
        <f t="shared" si="10"/>
        <v>00109090501702</v>
      </c>
      <c r="K81" s="44"/>
      <c r="M81" s="44"/>
      <c r="O81" s="44"/>
      <c r="Q81" s="44"/>
    </row>
    <row r="82" spans="1:17" hidden="1" x14ac:dyDescent="0.25">
      <c r="A82" s="15" t="s">
        <v>547</v>
      </c>
      <c r="B82" s="29">
        <v>0</v>
      </c>
      <c r="C82" s="15">
        <v>0</v>
      </c>
      <c r="G82" s="15" t="str">
        <f t="shared" si="10"/>
        <v>00109090501800</v>
      </c>
      <c r="K82" s="44"/>
      <c r="M82" s="44"/>
      <c r="O82" s="44"/>
      <c r="Q82" s="44"/>
    </row>
    <row r="83" spans="1:17" hidden="1" x14ac:dyDescent="0.25">
      <c r="A83" s="15" t="s">
        <v>548</v>
      </c>
      <c r="B83" s="29">
        <v>10310.86</v>
      </c>
      <c r="C83" s="15">
        <v>9284.34</v>
      </c>
      <c r="G83" s="15" t="str">
        <f t="shared" si="10"/>
        <v>00109090502100</v>
      </c>
      <c r="K83" s="44"/>
      <c r="M83" s="44"/>
      <c r="O83" s="44"/>
      <c r="Q83" s="44"/>
    </row>
    <row r="84" spans="1:17" hidden="1" x14ac:dyDescent="0.25">
      <c r="A84" s="15" t="s">
        <v>549</v>
      </c>
      <c r="B84" s="29">
        <v>0</v>
      </c>
      <c r="C84" s="15">
        <v>0</v>
      </c>
      <c r="G84" s="15" t="e">
        <f t="shared" si="10"/>
        <v>#N/A</v>
      </c>
      <c r="K84" s="44"/>
      <c r="M84" s="44"/>
      <c r="O84" s="44"/>
      <c r="Q84" s="44"/>
    </row>
    <row r="85" spans="1:17" hidden="1" x14ac:dyDescent="0.25">
      <c r="A85" s="15" t="s">
        <v>550</v>
      </c>
      <c r="B85" s="29">
        <v>12548.32</v>
      </c>
      <c r="C85" s="15">
        <v>12010.96</v>
      </c>
      <c r="G85" s="15" t="str">
        <f t="shared" si="10"/>
        <v>00109090502200</v>
      </c>
      <c r="K85" s="44"/>
      <c r="M85" s="44"/>
      <c r="O85" s="44"/>
      <c r="Q85" s="44"/>
    </row>
    <row r="86" spans="1:17" hidden="1" x14ac:dyDescent="0.25">
      <c r="A86" s="15" t="s">
        <v>551</v>
      </c>
      <c r="B86" s="29">
        <v>24458.3</v>
      </c>
      <c r="C86" s="15">
        <v>24981.22</v>
      </c>
      <c r="G86" s="15" t="str">
        <f t="shared" si="10"/>
        <v>00109090502300</v>
      </c>
      <c r="I86" s="15"/>
    </row>
    <row r="87" spans="1:17" hidden="1" x14ac:dyDescent="0.25">
      <c r="A87" s="15" t="s">
        <v>552</v>
      </c>
      <c r="B87" s="29">
        <v>249.78</v>
      </c>
      <c r="C87" s="15">
        <v>235.84</v>
      </c>
      <c r="G87" s="15" t="str">
        <f t="shared" si="10"/>
        <v>00109090502400</v>
      </c>
      <c r="I87" s="15"/>
    </row>
    <row r="88" spans="1:17" hidden="1" x14ac:dyDescent="0.25">
      <c r="A88" s="15" t="s">
        <v>553</v>
      </c>
      <c r="B88" s="29">
        <v>0</v>
      </c>
      <c r="C88" s="15">
        <v>0</v>
      </c>
      <c r="G88" s="15" t="str">
        <f t="shared" si="10"/>
        <v>00109090503450</v>
      </c>
      <c r="I88" s="15"/>
    </row>
    <row r="89" spans="1:17" hidden="1" x14ac:dyDescent="0.25">
      <c r="A89" s="15" t="s">
        <v>554</v>
      </c>
      <c r="B89" s="29">
        <v>0</v>
      </c>
      <c r="C89" s="15">
        <v>0</v>
      </c>
      <c r="G89" s="15" t="str">
        <f t="shared" si="10"/>
        <v>00109090503460</v>
      </c>
    </row>
    <row r="90" spans="1:17" hidden="1" x14ac:dyDescent="0.25">
      <c r="A90" s="15" t="s">
        <v>555</v>
      </c>
      <c r="B90" s="29">
        <v>0</v>
      </c>
      <c r="C90" s="15">
        <v>0</v>
      </c>
      <c r="G90" s="15" t="str">
        <f t="shared" si="10"/>
        <v>00109090503461</v>
      </c>
    </row>
    <row r="91" spans="1:17" hidden="1" x14ac:dyDescent="0.25">
      <c r="A91" s="15" t="s">
        <v>556</v>
      </c>
      <c r="B91" s="29">
        <v>0</v>
      </c>
      <c r="C91" s="15">
        <v>0</v>
      </c>
      <c r="G91" s="15" t="str">
        <f t="shared" si="10"/>
        <v>00109090503499</v>
      </c>
    </row>
    <row r="92" spans="1:17" hidden="1" x14ac:dyDescent="0.25">
      <c r="A92" s="15" t="s">
        <v>557</v>
      </c>
      <c r="B92" s="29">
        <v>0</v>
      </c>
      <c r="C92" s="15">
        <v>0</v>
      </c>
      <c r="G92" s="15" t="str">
        <f t="shared" si="10"/>
        <v>00109090503901</v>
      </c>
    </row>
    <row r="93" spans="1:17" hidden="1" x14ac:dyDescent="0.25">
      <c r="A93" s="15" t="s">
        <v>558</v>
      </c>
      <c r="B93" s="29">
        <v>0</v>
      </c>
      <c r="C93" s="15">
        <v>0</v>
      </c>
      <c r="G93" s="15" t="e">
        <f t="shared" si="10"/>
        <v>#N/A</v>
      </c>
    </row>
    <row r="94" spans="1:17" hidden="1" x14ac:dyDescent="0.25">
      <c r="A94" s="15" t="s">
        <v>559</v>
      </c>
      <c r="B94" s="29">
        <v>0</v>
      </c>
      <c r="C94" s="15">
        <v>0</v>
      </c>
      <c r="G94" s="15" t="e">
        <f t="shared" si="10"/>
        <v>#N/A</v>
      </c>
    </row>
    <row r="95" spans="1:17" hidden="1" x14ac:dyDescent="0.25">
      <c r="A95" s="15" t="s">
        <v>560</v>
      </c>
      <c r="B95" s="29">
        <v>0</v>
      </c>
      <c r="C95" s="15">
        <v>0</v>
      </c>
      <c r="G95" s="15" t="str">
        <f t="shared" si="10"/>
        <v>00109090504060</v>
      </c>
    </row>
    <row r="96" spans="1:17" hidden="1" x14ac:dyDescent="0.25">
      <c r="A96" s="15" t="s">
        <v>561</v>
      </c>
      <c r="B96" s="29">
        <v>0</v>
      </c>
      <c r="C96" s="15">
        <v>0</v>
      </c>
      <c r="G96" s="15" t="str">
        <f t="shared" si="10"/>
        <v>00109090504070</v>
      </c>
    </row>
    <row r="97" spans="1:7" hidden="1" x14ac:dyDescent="0.25">
      <c r="A97" s="15" t="s">
        <v>562</v>
      </c>
      <c r="B97" s="29">
        <v>1243</v>
      </c>
      <c r="C97" s="15">
        <v>1434</v>
      </c>
      <c r="G97" s="15" t="str">
        <f t="shared" si="10"/>
        <v>00109090504450</v>
      </c>
    </row>
    <row r="98" spans="1:7" hidden="1" x14ac:dyDescent="0.25">
      <c r="A98" s="15" t="s">
        <v>563</v>
      </c>
      <c r="B98" s="29">
        <v>7246.97</v>
      </c>
      <c r="C98" s="15">
        <v>2060.37</v>
      </c>
      <c r="G98" s="15" t="str">
        <f t="shared" si="10"/>
        <v>00109090504601</v>
      </c>
    </row>
    <row r="99" spans="1:7" hidden="1" x14ac:dyDescent="0.25">
      <c r="A99" s="15" t="s">
        <v>564</v>
      </c>
      <c r="B99" s="29">
        <v>11930.68</v>
      </c>
      <c r="C99" s="15">
        <v>7465.2</v>
      </c>
      <c r="G99" s="15" t="str">
        <f t="shared" si="10"/>
        <v>00109090504602</v>
      </c>
    </row>
    <row r="100" spans="1:7" hidden="1" x14ac:dyDescent="0.25">
      <c r="A100" s="15" t="s">
        <v>565</v>
      </c>
      <c r="B100" s="29">
        <v>0</v>
      </c>
      <c r="C100" s="15">
        <v>0</v>
      </c>
      <c r="G100" s="15" t="str">
        <f t="shared" si="10"/>
        <v>00109090504615</v>
      </c>
    </row>
    <row r="101" spans="1:7" hidden="1" x14ac:dyDescent="0.25">
      <c r="A101" s="15" t="s">
        <v>566</v>
      </c>
      <c r="B101" s="29">
        <v>0</v>
      </c>
      <c r="C101" s="15">
        <v>208.84</v>
      </c>
      <c r="G101" s="15" t="str">
        <f t="shared" si="10"/>
        <v>00109090504620</v>
      </c>
    </row>
    <row r="102" spans="1:7" hidden="1" x14ac:dyDescent="0.25">
      <c r="A102" s="15" t="s">
        <v>567</v>
      </c>
      <c r="B102" s="29">
        <v>0</v>
      </c>
      <c r="C102" s="15">
        <v>0</v>
      </c>
      <c r="G102" s="15" t="str">
        <f t="shared" si="10"/>
        <v>00109090504675</v>
      </c>
    </row>
    <row r="103" spans="1:7" hidden="1" x14ac:dyDescent="0.25">
      <c r="A103" s="15" t="s">
        <v>568</v>
      </c>
      <c r="B103" s="29">
        <v>297.95999999999998</v>
      </c>
      <c r="C103" s="15">
        <v>429.43</v>
      </c>
      <c r="G103" s="15" t="str">
        <f t="shared" si="10"/>
        <v>00109090504710</v>
      </c>
    </row>
    <row r="104" spans="1:7" hidden="1" x14ac:dyDescent="0.25">
      <c r="A104" s="15" t="s">
        <v>569</v>
      </c>
      <c r="B104" s="29">
        <v>0</v>
      </c>
      <c r="C104" s="15">
        <v>0</v>
      </c>
      <c r="G104" s="15" t="str">
        <f t="shared" si="10"/>
        <v>00109090504810</v>
      </c>
    </row>
    <row r="105" spans="1:7" hidden="1" x14ac:dyDescent="0.25">
      <c r="A105" s="15" t="s">
        <v>570</v>
      </c>
      <c r="B105" s="29">
        <v>0</v>
      </c>
      <c r="C105" s="15">
        <v>0</v>
      </c>
      <c r="G105" s="15" t="e">
        <f t="shared" si="10"/>
        <v>#N/A</v>
      </c>
    </row>
    <row r="106" spans="1:7" hidden="1" x14ac:dyDescent="0.25">
      <c r="A106" s="15" t="s">
        <v>571</v>
      </c>
      <c r="B106" s="29">
        <v>0</v>
      </c>
      <c r="C106" s="15">
        <v>0</v>
      </c>
      <c r="G106" s="15" t="str">
        <f t="shared" si="10"/>
        <v>00109090505101</v>
      </c>
    </row>
    <row r="107" spans="1:7" hidden="1" x14ac:dyDescent="0.25">
      <c r="A107" s="15" t="s">
        <v>572</v>
      </c>
      <c r="B107" s="29">
        <v>12488.19</v>
      </c>
      <c r="C107" s="15">
        <v>12623.6</v>
      </c>
      <c r="G107" s="15" t="str">
        <f t="shared" si="10"/>
        <v>00109090505201</v>
      </c>
    </row>
    <row r="108" spans="1:7" hidden="1" x14ac:dyDescent="0.25">
      <c r="A108" s="15" t="s">
        <v>573</v>
      </c>
      <c r="B108" s="29">
        <v>63.39</v>
      </c>
      <c r="C108" s="15">
        <v>0</v>
      </c>
      <c r="G108" s="15" t="str">
        <f t="shared" si="10"/>
        <v>00109090505210</v>
      </c>
    </row>
    <row r="109" spans="1:7" hidden="1" x14ac:dyDescent="0.25">
      <c r="A109" s="15" t="s">
        <v>574</v>
      </c>
      <c r="B109" s="29">
        <v>0</v>
      </c>
      <c r="C109" s="15">
        <v>0</v>
      </c>
      <c r="G109" s="15" t="str">
        <f t="shared" si="10"/>
        <v>00109090505260</v>
      </c>
    </row>
    <row r="110" spans="1:7" hidden="1" x14ac:dyDescent="0.25">
      <c r="A110" s="15" t="s">
        <v>575</v>
      </c>
      <c r="B110" s="29">
        <v>0</v>
      </c>
      <c r="C110" s="15">
        <v>0</v>
      </c>
      <c r="G110" s="15" t="str">
        <f t="shared" si="10"/>
        <v>00109090505285</v>
      </c>
    </row>
    <row r="111" spans="1:7" hidden="1" x14ac:dyDescent="0.25">
      <c r="A111" s="15" t="s">
        <v>576</v>
      </c>
      <c r="B111" s="29">
        <v>0</v>
      </c>
      <c r="C111" s="15">
        <v>0</v>
      </c>
      <c r="G111" s="15" t="e">
        <f t="shared" si="10"/>
        <v>#N/A</v>
      </c>
    </row>
    <row r="112" spans="1:7" hidden="1" x14ac:dyDescent="0.25">
      <c r="A112" s="15" t="s">
        <v>577</v>
      </c>
      <c r="B112" s="29">
        <v>0</v>
      </c>
      <c r="C112" s="15">
        <v>0</v>
      </c>
      <c r="G112" s="15" t="e">
        <f t="shared" si="10"/>
        <v>#N/A</v>
      </c>
    </row>
    <row r="113" spans="1:7" hidden="1" x14ac:dyDescent="0.25">
      <c r="A113" s="15" t="s">
        <v>578</v>
      </c>
      <c r="B113" s="29">
        <v>772.24</v>
      </c>
      <c r="C113" s="15">
        <v>1199.1400000000001</v>
      </c>
      <c r="G113" s="15" t="str">
        <f t="shared" si="10"/>
        <v>00109090505505</v>
      </c>
    </row>
    <row r="114" spans="1:7" hidden="1" x14ac:dyDescent="0.25">
      <c r="A114" s="15" t="s">
        <v>579</v>
      </c>
      <c r="B114" s="29">
        <v>336.49</v>
      </c>
      <c r="C114" s="15">
        <v>152.99</v>
      </c>
      <c r="G114" s="15" t="str">
        <f t="shared" si="10"/>
        <v>00109090505532</v>
      </c>
    </row>
    <row r="115" spans="1:7" hidden="1" x14ac:dyDescent="0.25">
      <c r="A115" s="15" t="s">
        <v>580</v>
      </c>
      <c r="B115" s="29">
        <v>0</v>
      </c>
      <c r="C115" s="15">
        <v>0</v>
      </c>
      <c r="G115" s="15" t="str">
        <f t="shared" si="10"/>
        <v>00109090505540</v>
      </c>
    </row>
    <row r="116" spans="1:7" hidden="1" x14ac:dyDescent="0.25">
      <c r="A116" s="15" t="s">
        <v>581</v>
      </c>
      <c r="B116" s="29">
        <v>0</v>
      </c>
      <c r="C116" s="15">
        <v>0</v>
      </c>
      <c r="G116" s="15" t="str">
        <f t="shared" si="10"/>
        <v>00109090505550</v>
      </c>
    </row>
    <row r="117" spans="1:7" hidden="1" x14ac:dyDescent="0.25">
      <c r="A117" s="15" t="s">
        <v>582</v>
      </c>
      <c r="B117" s="29">
        <v>0</v>
      </c>
      <c r="C117" s="15">
        <v>0</v>
      </c>
      <c r="G117" s="15" t="str">
        <f t="shared" si="10"/>
        <v>00109090505701</v>
      </c>
    </row>
    <row r="118" spans="1:7" hidden="1" x14ac:dyDescent="0.25">
      <c r="A118" s="15" t="s">
        <v>583</v>
      </c>
      <c r="B118" s="29">
        <v>0</v>
      </c>
      <c r="C118" s="15">
        <v>0</v>
      </c>
      <c r="G118" s="15" t="str">
        <f t="shared" si="10"/>
        <v>00109090505715</v>
      </c>
    </row>
    <row r="119" spans="1:7" hidden="1" x14ac:dyDescent="0.25">
      <c r="A119" s="15" t="s">
        <v>584</v>
      </c>
      <c r="B119" s="29">
        <v>0</v>
      </c>
      <c r="C119" s="15">
        <v>0</v>
      </c>
      <c r="G119" s="15" t="e">
        <f t="shared" si="10"/>
        <v>#N/A</v>
      </c>
    </row>
    <row r="120" spans="1:7" hidden="1" x14ac:dyDescent="0.25">
      <c r="A120" s="15" t="s">
        <v>585</v>
      </c>
      <c r="B120" s="29">
        <v>1228.21</v>
      </c>
      <c r="C120" s="15">
        <v>0</v>
      </c>
      <c r="G120" s="15" t="str">
        <f t="shared" si="10"/>
        <v>00109090505750</v>
      </c>
    </row>
    <row r="121" spans="1:7" hidden="1" x14ac:dyDescent="0.25">
      <c r="A121" s="15" t="s">
        <v>586</v>
      </c>
      <c r="B121" s="29">
        <v>0</v>
      </c>
      <c r="C121" s="15">
        <v>0</v>
      </c>
      <c r="G121" s="15" t="str">
        <f t="shared" si="10"/>
        <v>00109090505801</v>
      </c>
    </row>
    <row r="122" spans="1:7" hidden="1" x14ac:dyDescent="0.25">
      <c r="A122" s="15" t="s">
        <v>587</v>
      </c>
      <c r="B122" s="29">
        <v>0</v>
      </c>
      <c r="C122" s="15">
        <v>0</v>
      </c>
      <c r="G122" s="15" t="e">
        <f t="shared" si="10"/>
        <v>#N/A</v>
      </c>
    </row>
    <row r="123" spans="1:7" hidden="1" x14ac:dyDescent="0.25">
      <c r="A123" s="15" t="s">
        <v>588</v>
      </c>
      <c r="B123" s="29">
        <v>0</v>
      </c>
      <c r="C123" s="15">
        <v>0</v>
      </c>
      <c r="G123" s="15" t="e">
        <f t="shared" si="10"/>
        <v>#N/A</v>
      </c>
    </row>
    <row r="124" spans="1:7" hidden="1" x14ac:dyDescent="0.25">
      <c r="A124" s="15" t="s">
        <v>589</v>
      </c>
      <c r="B124" s="29">
        <v>0</v>
      </c>
      <c r="C124" s="15">
        <v>0</v>
      </c>
      <c r="G124" s="15" t="e">
        <f t="shared" si="10"/>
        <v>#N/A</v>
      </c>
    </row>
    <row r="125" spans="1:7" hidden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15" orientation="portrait" useFirstPageNumber="1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45F5-50C7-4C07-B6C8-0AF8FAC2E243}">
  <sheetPr>
    <tabColor rgb="FF9966FF"/>
  </sheetPr>
  <dimension ref="A1:V151"/>
  <sheetViews>
    <sheetView showGridLines="0" zoomScaleNormal="100" zoomScaleSheetLayoutView="100" workbookViewId="0">
      <pane ySplit="10" topLeftCell="A37" activePane="bottomLeft" state="frozen"/>
      <selection activeCell="R10" sqref="R10"/>
      <selection pane="bottomLeft" activeCell="M78" sqref="M38:M78"/>
    </sheetView>
  </sheetViews>
  <sheetFormatPr defaultColWidth="9.140625" defaultRowHeight="15" x14ac:dyDescent="0.25"/>
  <cols>
    <col min="1" max="1" width="35.28515625" style="15" customWidth="1"/>
    <col min="2" max="2" width="12.8554687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15" hidden="1" customWidth="1"/>
    <col min="16" max="16" width="1.7109375" style="2" hidden="1" customWidth="1"/>
    <col min="17" max="17" width="9.7109375" style="15" hidden="1" customWidth="1"/>
    <col min="18" max="18" width="26.7109375" customWidth="1"/>
    <col min="23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8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8"/>
      <c r="B3" s="80"/>
      <c r="C3" s="8"/>
      <c r="D3" s="8"/>
      <c r="G3" s="8"/>
      <c r="I3" s="81"/>
      <c r="K3" s="8"/>
      <c r="M3" s="8"/>
      <c r="N3" s="8"/>
      <c r="O3" s="8"/>
      <c r="Q3" s="8"/>
    </row>
    <row r="4" spans="1:18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8"/>
    </row>
    <row r="5" spans="1:18" ht="13.15" customHeight="1" x14ac:dyDescent="0.25">
      <c r="A5" s="83" t="s">
        <v>307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Q5" s="8"/>
    </row>
    <row r="6" spans="1:18" ht="13.15" customHeight="1" x14ac:dyDescent="0.25">
      <c r="A6" s="83" t="s">
        <v>590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Q6" s="8"/>
    </row>
    <row r="7" spans="1:18" ht="13.15" customHeight="1" x14ac:dyDescent="0.25">
      <c r="A7" s="84"/>
      <c r="B7" s="85"/>
      <c r="C7" s="84"/>
      <c r="D7" s="84"/>
      <c r="E7" s="117"/>
      <c r="F7" s="110"/>
      <c r="G7" s="84"/>
      <c r="H7" s="110"/>
      <c r="I7" s="111"/>
      <c r="J7" s="110"/>
      <c r="K7" s="84"/>
      <c r="L7" s="110"/>
      <c r="M7" s="84"/>
      <c r="Q7" s="84"/>
    </row>
    <row r="8" spans="1:18" x14ac:dyDescent="0.25">
      <c r="G8" s="18"/>
      <c r="H8" s="19"/>
      <c r="I8" s="20"/>
      <c r="J8" s="19"/>
      <c r="K8" s="18"/>
      <c r="L8" s="21" t="s">
        <v>4</v>
      </c>
      <c r="M8" s="22">
        <f>' 911 Admin'!M8</f>
        <v>2027</v>
      </c>
      <c r="N8" s="22"/>
      <c r="O8" s="22"/>
      <c r="P8" s="22"/>
      <c r="Q8" s="22"/>
    </row>
    <row r="9" spans="1:18" x14ac:dyDescent="0.25">
      <c r="C9" s="21"/>
      <c r="D9" s="21"/>
      <c r="E9" s="23"/>
      <c r="G9" s="21">
        <f>' 911 Admin'!G9</f>
        <v>2024</v>
      </c>
      <c r="H9" s="19"/>
      <c r="I9" s="21">
        <f>' 911 Admin'!I9</f>
        <v>2025</v>
      </c>
      <c r="J9" s="19"/>
      <c r="K9" s="21">
        <f>' 911 Admin'!K9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x14ac:dyDescent="0.25">
      <c r="B10" s="26" t="s">
        <v>8</v>
      </c>
      <c r="C10" s="26" t="s">
        <v>9</v>
      </c>
      <c r="D10" s="26" t="s">
        <v>10</v>
      </c>
      <c r="E10" s="23"/>
      <c r="G10" s="26" t="s">
        <v>11</v>
      </c>
      <c r="H10" s="19"/>
      <c r="I10" s="26" t="s">
        <v>11</v>
      </c>
      <c r="J10" s="19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3.5" customHeight="1" x14ac:dyDescent="0.25">
      <c r="A11" s="28" t="s">
        <v>16</v>
      </c>
      <c r="I11" s="15"/>
    </row>
    <row r="12" spans="1:18" ht="24.95" customHeight="1" x14ac:dyDescent="0.25">
      <c r="A12" s="92" t="s">
        <v>591</v>
      </c>
      <c r="B12" s="93" t="s">
        <v>592</v>
      </c>
      <c r="C12" s="69">
        <v>501201</v>
      </c>
      <c r="D12" s="69"/>
      <c r="E12" s="94" t="str">
        <f>_xlfn.CONCAT(B12,C12,D12)</f>
        <v>00109200501201</v>
      </c>
      <c r="F12" s="42" t="s">
        <v>19</v>
      </c>
      <c r="G12" s="34">
        <f>ROUND(IFERROR(VLOOKUP(_xlfn.CONCAT($B12,$C12,$D12),$A$93:$C$9994,3,FALSE),0),0)</f>
        <v>517030</v>
      </c>
      <c r="H12" s="42" t="s">
        <v>19</v>
      </c>
      <c r="I12" s="34">
        <f>ROUND(IFERROR(VLOOKUP(_xlfn.CONCAT($B12,$C12,$D12),$A$93:$C$9994,2,FALSE),0),0)</f>
        <v>537521</v>
      </c>
      <c r="J12" s="42" t="s">
        <v>19</v>
      </c>
      <c r="K12" s="45">
        <v>571289</v>
      </c>
      <c r="L12" s="42" t="s">
        <v>19</v>
      </c>
      <c r="M12" s="45">
        <f>'[1]Payroll Summary by Department'!C65</f>
        <v>571289</v>
      </c>
      <c r="N12" s="67" t="s">
        <v>19</v>
      </c>
      <c r="O12" s="45">
        <f>M12</f>
        <v>571289</v>
      </c>
      <c r="P12" s="67" t="s">
        <v>19</v>
      </c>
      <c r="Q12" s="45">
        <f>O12</f>
        <v>571289</v>
      </c>
    </row>
    <row r="13" spans="1:18" ht="13.5" customHeight="1" x14ac:dyDescent="0.25">
      <c r="A13" s="40" t="s">
        <v>285</v>
      </c>
      <c r="B13" s="93" t="s">
        <v>592</v>
      </c>
      <c r="C13" s="69">
        <v>501290</v>
      </c>
      <c r="D13" s="69"/>
      <c r="E13" s="94" t="str">
        <f t="shared" ref="E13:E76" si="0">_xlfn.CONCAT(B13,C13,D13)</f>
        <v>00109200501290</v>
      </c>
      <c r="G13" s="34">
        <f t="shared" ref="G13:G24" si="1">ROUND(IFERROR(VLOOKUP(_xlfn.CONCAT($B13,$C13,$D13),$A$93:$C$9994,3,FALSE),0),0)</f>
        <v>72</v>
      </c>
      <c r="H13" s="67"/>
      <c r="I13" s="34">
        <f t="shared" ref="I13:I24" si="2">ROUND(IFERROR(VLOOKUP(_xlfn.CONCAT($B13,$C13,$D13),$A$93:$C$9994,2,FALSE),0),0)</f>
        <v>0</v>
      </c>
      <c r="J13" s="67"/>
      <c r="K13" s="45">
        <v>300</v>
      </c>
      <c r="L13" s="67"/>
      <c r="M13" s="45">
        <v>300</v>
      </c>
      <c r="N13" s="44"/>
      <c r="O13" s="45">
        <f t="shared" ref="O13:O24" si="3">M13</f>
        <v>300</v>
      </c>
      <c r="Q13" s="45">
        <f t="shared" ref="Q13:Q24" si="4">O13</f>
        <v>300</v>
      </c>
    </row>
    <row r="14" spans="1:18" ht="13.5" customHeight="1" x14ac:dyDescent="0.25">
      <c r="A14" s="40" t="s">
        <v>122</v>
      </c>
      <c r="B14" s="93" t="s">
        <v>592</v>
      </c>
      <c r="C14" s="69">
        <v>501300</v>
      </c>
      <c r="D14" s="69"/>
      <c r="E14" s="94" t="str">
        <f t="shared" si="0"/>
        <v>00109200501300</v>
      </c>
      <c r="G14" s="34">
        <f t="shared" si="1"/>
        <v>87053</v>
      </c>
      <c r="H14" s="67"/>
      <c r="I14" s="34">
        <f t="shared" si="2"/>
        <v>87506</v>
      </c>
      <c r="J14" s="67"/>
      <c r="K14" s="45">
        <v>69000</v>
      </c>
      <c r="L14" s="67"/>
      <c r="M14" s="45">
        <v>69000</v>
      </c>
      <c r="N14" s="44"/>
      <c r="O14" s="45">
        <f t="shared" si="3"/>
        <v>69000</v>
      </c>
      <c r="Q14" s="45">
        <f t="shared" si="4"/>
        <v>69000</v>
      </c>
    </row>
    <row r="15" spans="1:18" ht="13.5" customHeight="1" x14ac:dyDescent="0.25">
      <c r="A15" s="40" t="s">
        <v>21</v>
      </c>
      <c r="B15" s="93" t="s">
        <v>592</v>
      </c>
      <c r="C15" s="69">
        <v>501400</v>
      </c>
      <c r="D15" s="69"/>
      <c r="E15" s="94" t="str">
        <f t="shared" si="0"/>
        <v>00109200501400</v>
      </c>
      <c r="G15" s="34">
        <f t="shared" si="1"/>
        <v>45259</v>
      </c>
      <c r="H15" s="67"/>
      <c r="I15" s="34">
        <f t="shared" si="2"/>
        <v>51431</v>
      </c>
      <c r="J15" s="67"/>
      <c r="K15" s="45">
        <v>30000</v>
      </c>
      <c r="L15" s="67"/>
      <c r="M15" s="45">
        <v>30000</v>
      </c>
      <c r="N15" s="44"/>
      <c r="O15" s="45">
        <f t="shared" si="3"/>
        <v>30000</v>
      </c>
      <c r="Q15" s="45">
        <f t="shared" si="4"/>
        <v>30000</v>
      </c>
    </row>
    <row r="16" spans="1:18" ht="13.5" customHeight="1" x14ac:dyDescent="0.25">
      <c r="A16" s="40" t="s">
        <v>526</v>
      </c>
      <c r="B16" s="93" t="s">
        <v>592</v>
      </c>
      <c r="C16" s="42">
        <v>501401</v>
      </c>
      <c r="D16" s="42"/>
      <c r="E16" s="94" t="str">
        <f t="shared" si="0"/>
        <v>00109200501401</v>
      </c>
      <c r="G16" s="34">
        <f t="shared" si="1"/>
        <v>0</v>
      </c>
      <c r="H16" s="67"/>
      <c r="I16" s="34">
        <f t="shared" si="2"/>
        <v>0</v>
      </c>
      <c r="J16" s="67"/>
      <c r="K16" s="45">
        <v>50</v>
      </c>
      <c r="L16" s="67"/>
      <c r="M16" s="45">
        <v>50</v>
      </c>
      <c r="N16" s="44"/>
      <c r="O16" s="45">
        <f t="shared" si="3"/>
        <v>50</v>
      </c>
      <c r="Q16" s="45">
        <f t="shared" si="4"/>
        <v>50</v>
      </c>
    </row>
    <row r="17" spans="1:17" ht="13.5" customHeight="1" x14ac:dyDescent="0.25">
      <c r="A17" s="40" t="s">
        <v>23</v>
      </c>
      <c r="B17" s="93" t="s">
        <v>592</v>
      </c>
      <c r="C17" s="42">
        <v>501600</v>
      </c>
      <c r="D17" s="42"/>
      <c r="E17" s="94" t="str">
        <f t="shared" si="0"/>
        <v>00109200501600</v>
      </c>
      <c r="G17" s="34">
        <f t="shared" si="1"/>
        <v>13451</v>
      </c>
      <c r="H17" s="67"/>
      <c r="I17" s="34">
        <f t="shared" si="2"/>
        <v>8615</v>
      </c>
      <c r="J17" s="67"/>
      <c r="K17" s="45">
        <v>0</v>
      </c>
      <c r="L17" s="67"/>
      <c r="M17" s="45">
        <f>'[1]Payroll Summary by Department'!I65</f>
        <v>0</v>
      </c>
      <c r="N17" s="44"/>
      <c r="O17" s="45">
        <f t="shared" si="3"/>
        <v>0</v>
      </c>
      <c r="Q17" s="45">
        <f t="shared" si="4"/>
        <v>0</v>
      </c>
    </row>
    <row r="18" spans="1:17" ht="13.5" customHeight="1" x14ac:dyDescent="0.25">
      <c r="A18" s="40" t="s">
        <v>24</v>
      </c>
      <c r="B18" s="93" t="s">
        <v>592</v>
      </c>
      <c r="C18" s="42">
        <v>501701</v>
      </c>
      <c r="D18" s="42"/>
      <c r="E18" s="94" t="str">
        <f t="shared" si="0"/>
        <v>00109200501701</v>
      </c>
      <c r="G18" s="34">
        <f t="shared" si="1"/>
        <v>0</v>
      </c>
      <c r="H18" s="67"/>
      <c r="I18" s="34">
        <f t="shared" si="2"/>
        <v>0</v>
      </c>
      <c r="J18" s="67"/>
      <c r="K18" s="45">
        <v>0</v>
      </c>
      <c r="L18" s="67"/>
      <c r="M18" s="45">
        <f>'[1]Payroll Summary by Department'!K65</f>
        <v>0</v>
      </c>
      <c r="N18" s="44"/>
      <c r="O18" s="45">
        <f t="shared" si="3"/>
        <v>0</v>
      </c>
      <c r="Q18" s="45">
        <f t="shared" si="4"/>
        <v>0</v>
      </c>
    </row>
    <row r="19" spans="1:17" ht="13.5" customHeight="1" x14ac:dyDescent="0.25">
      <c r="A19" s="40" t="s">
        <v>25</v>
      </c>
      <c r="B19" s="93" t="s">
        <v>592</v>
      </c>
      <c r="C19" s="41">
        <v>501702</v>
      </c>
      <c r="D19" s="41"/>
      <c r="E19" s="94" t="str">
        <f t="shared" si="0"/>
        <v>00109200501702</v>
      </c>
      <c r="G19" s="34">
        <f t="shared" si="1"/>
        <v>1690</v>
      </c>
      <c r="H19" s="67"/>
      <c r="I19" s="34">
        <f t="shared" si="2"/>
        <v>1325</v>
      </c>
      <c r="J19" s="67"/>
      <c r="K19" s="45">
        <v>1800</v>
      </c>
      <c r="L19" s="67"/>
      <c r="M19" s="45">
        <f>'[1]Payroll Summary by Department'!L65</f>
        <v>1800</v>
      </c>
      <c r="N19" s="44"/>
      <c r="O19" s="45">
        <f t="shared" si="3"/>
        <v>1800</v>
      </c>
      <c r="Q19" s="45">
        <f t="shared" si="4"/>
        <v>1800</v>
      </c>
    </row>
    <row r="20" spans="1:17" ht="13.5" customHeight="1" x14ac:dyDescent="0.25">
      <c r="A20" s="40" t="s">
        <v>26</v>
      </c>
      <c r="B20" s="93" t="s">
        <v>592</v>
      </c>
      <c r="C20" s="41">
        <v>501800</v>
      </c>
      <c r="D20" s="41"/>
      <c r="E20" s="94" t="str">
        <f t="shared" si="0"/>
        <v>00109200501800</v>
      </c>
      <c r="G20" s="34">
        <f t="shared" si="1"/>
        <v>0</v>
      </c>
      <c r="H20" s="43"/>
      <c r="I20" s="34">
        <f t="shared" si="2"/>
        <v>0</v>
      </c>
      <c r="J20" s="43"/>
      <c r="K20" s="45">
        <v>50</v>
      </c>
      <c r="L20" s="43"/>
      <c r="M20" s="45">
        <v>50</v>
      </c>
      <c r="N20" s="44"/>
      <c r="O20" s="45">
        <f t="shared" si="3"/>
        <v>50</v>
      </c>
      <c r="Q20" s="45">
        <f t="shared" si="4"/>
        <v>50</v>
      </c>
    </row>
    <row r="21" spans="1:17" ht="13.5" customHeight="1" x14ac:dyDescent="0.25">
      <c r="A21" s="40" t="s">
        <v>27</v>
      </c>
      <c r="B21" s="93" t="s">
        <v>592</v>
      </c>
      <c r="C21" s="69">
        <v>502100</v>
      </c>
      <c r="D21" s="69"/>
      <c r="E21" s="94" t="str">
        <f t="shared" si="0"/>
        <v>00109200502100</v>
      </c>
      <c r="G21" s="34">
        <f t="shared" si="1"/>
        <v>50467</v>
      </c>
      <c r="H21" s="67"/>
      <c r="I21" s="34">
        <f t="shared" si="2"/>
        <v>52117</v>
      </c>
      <c r="J21" s="67"/>
      <c r="K21" s="45">
        <v>51367</v>
      </c>
      <c r="L21" s="67"/>
      <c r="M21" s="45">
        <f>'[1]Payroll Summary by Department'!N65-80</f>
        <v>51367</v>
      </c>
      <c r="N21" s="44"/>
      <c r="O21" s="45">
        <f t="shared" si="3"/>
        <v>51367</v>
      </c>
      <c r="Q21" s="45">
        <f t="shared" si="4"/>
        <v>51367</v>
      </c>
    </row>
    <row r="22" spans="1:17" ht="13.5" customHeight="1" x14ac:dyDescent="0.25">
      <c r="A22" s="40" t="s">
        <v>28</v>
      </c>
      <c r="B22" s="93" t="s">
        <v>592</v>
      </c>
      <c r="C22" s="69">
        <v>502200</v>
      </c>
      <c r="D22" s="69"/>
      <c r="E22" s="94" t="str">
        <f t="shared" si="0"/>
        <v>00109200502200</v>
      </c>
      <c r="G22" s="34">
        <f t="shared" si="1"/>
        <v>55617</v>
      </c>
      <c r="H22" s="67"/>
      <c r="I22" s="34">
        <f t="shared" si="2"/>
        <v>54507</v>
      </c>
      <c r="J22" s="67"/>
      <c r="K22" s="45">
        <v>75169</v>
      </c>
      <c r="L22" s="67"/>
      <c r="M22" s="45">
        <f>'[1]Payroll Summary by Department'!O65+'[1]Payroll Summary by Department'!P65</f>
        <v>75169</v>
      </c>
      <c r="N22" s="44"/>
      <c r="O22" s="45">
        <f t="shared" si="3"/>
        <v>75169</v>
      </c>
      <c r="Q22" s="45">
        <f t="shared" si="4"/>
        <v>75169</v>
      </c>
    </row>
    <row r="23" spans="1:17" ht="13.5" customHeight="1" x14ac:dyDescent="0.25">
      <c r="A23" s="40" t="s">
        <v>29</v>
      </c>
      <c r="B23" s="93" t="s">
        <v>592</v>
      </c>
      <c r="C23" s="69">
        <v>502300</v>
      </c>
      <c r="D23" s="69"/>
      <c r="E23" s="94" t="str">
        <f t="shared" si="0"/>
        <v>00109200502300</v>
      </c>
      <c r="G23" s="34">
        <f t="shared" si="1"/>
        <v>110059</v>
      </c>
      <c r="H23" s="67"/>
      <c r="I23" s="34">
        <f t="shared" si="2"/>
        <v>107809</v>
      </c>
      <c r="J23" s="67"/>
      <c r="K23" s="45">
        <v>148232</v>
      </c>
      <c r="L23" s="67"/>
      <c r="M23" s="45">
        <f>'[1]Payroll Summary by Department'!Q65</f>
        <v>148232</v>
      </c>
      <c r="N23" s="44"/>
      <c r="O23" s="45">
        <f t="shared" si="3"/>
        <v>148232</v>
      </c>
      <c r="Q23" s="45">
        <f t="shared" si="4"/>
        <v>148232</v>
      </c>
    </row>
    <row r="24" spans="1:17" ht="13.5" customHeight="1" x14ac:dyDescent="0.25">
      <c r="A24" s="40" t="s">
        <v>30</v>
      </c>
      <c r="B24" s="93" t="s">
        <v>592</v>
      </c>
      <c r="C24" s="69">
        <v>502400</v>
      </c>
      <c r="D24" s="69"/>
      <c r="E24" s="94" t="str">
        <f t="shared" si="0"/>
        <v>00109200502400</v>
      </c>
      <c r="G24" s="34">
        <f t="shared" si="1"/>
        <v>1021</v>
      </c>
      <c r="H24" s="67"/>
      <c r="I24" s="34">
        <f t="shared" si="2"/>
        <v>1089</v>
      </c>
      <c r="J24" s="67"/>
      <c r="K24" s="72">
        <v>1081</v>
      </c>
      <c r="L24" s="67"/>
      <c r="M24" s="72">
        <f>'[1]Payroll Summary by Department'!R65</f>
        <v>1081</v>
      </c>
      <c r="N24" s="44"/>
      <c r="O24" s="45">
        <f t="shared" si="3"/>
        <v>1081</v>
      </c>
      <c r="Q24" s="45">
        <f t="shared" si="4"/>
        <v>1081</v>
      </c>
    </row>
    <row r="25" spans="1:17" ht="24" customHeight="1" x14ac:dyDescent="0.25">
      <c r="A25" s="49" t="s">
        <v>31</v>
      </c>
      <c r="B25" s="50"/>
      <c r="E25" s="94" t="str">
        <f t="shared" si="0"/>
        <v/>
      </c>
      <c r="F25" s="42" t="s">
        <v>19</v>
      </c>
      <c r="G25" s="98">
        <f>SUM(G12:G24)</f>
        <v>881719</v>
      </c>
      <c r="H25" s="43" t="s">
        <v>19</v>
      </c>
      <c r="I25" s="98">
        <f>SUM(I12:I24)</f>
        <v>901920</v>
      </c>
      <c r="J25" s="43" t="s">
        <v>19</v>
      </c>
      <c r="K25" s="98">
        <f>SUM(K12:K24)</f>
        <v>948338</v>
      </c>
      <c r="L25" s="43" t="s">
        <v>19</v>
      </c>
      <c r="M25" s="98">
        <f>SUM(M12:M24)</f>
        <v>948338</v>
      </c>
      <c r="N25" s="39" t="s">
        <v>19</v>
      </c>
      <c r="O25" s="98">
        <f>SUM(O12:O24)</f>
        <v>948338</v>
      </c>
      <c r="P25" s="67" t="s">
        <v>19</v>
      </c>
      <c r="Q25" s="98">
        <f>SUM(Q12:Q24)</f>
        <v>948338</v>
      </c>
    </row>
    <row r="26" spans="1:17" ht="24" customHeight="1" x14ac:dyDescent="0.25">
      <c r="A26" s="99" t="s">
        <v>32</v>
      </c>
      <c r="E26" s="94" t="str">
        <f t="shared" si="0"/>
        <v/>
      </c>
      <c r="G26" s="45"/>
      <c r="H26" s="67"/>
      <c r="I26" s="45"/>
      <c r="J26" s="67"/>
      <c r="K26" s="45"/>
      <c r="L26" s="67"/>
      <c r="M26" s="45"/>
      <c r="O26" s="45"/>
      <c r="Q26" s="45"/>
    </row>
    <row r="27" spans="1:17" ht="13.5" customHeight="1" x14ac:dyDescent="0.25">
      <c r="A27" s="100" t="s">
        <v>593</v>
      </c>
      <c r="B27" s="70"/>
      <c r="E27" s="94" t="str">
        <f t="shared" si="0"/>
        <v/>
      </c>
      <c r="G27" s="45"/>
      <c r="H27" s="67"/>
      <c r="I27" s="45"/>
      <c r="J27" s="67"/>
      <c r="K27" s="45"/>
      <c r="L27" s="67"/>
      <c r="M27" s="45"/>
      <c r="O27" s="45"/>
      <c r="Q27" s="45"/>
    </row>
    <row r="28" spans="1:17" ht="13.5" customHeight="1" x14ac:dyDescent="0.25">
      <c r="A28" s="60" t="s">
        <v>594</v>
      </c>
      <c r="B28" s="61"/>
      <c r="C28" s="42" t="s">
        <v>41</v>
      </c>
      <c r="D28" s="42"/>
      <c r="E28" s="94" t="str">
        <f t="shared" si="0"/>
        <v>3C</v>
      </c>
      <c r="G28" s="129">
        <v>1</v>
      </c>
      <c r="H28" s="130"/>
      <c r="I28" s="129">
        <v>1</v>
      </c>
      <c r="J28" s="130"/>
      <c r="K28" s="129">
        <v>1</v>
      </c>
      <c r="M28" s="129">
        <v>1</v>
      </c>
      <c r="O28" s="129">
        <f>M28</f>
        <v>1</v>
      </c>
      <c r="Q28" s="129">
        <f>O28</f>
        <v>1</v>
      </c>
    </row>
    <row r="29" spans="1:17" ht="13.5" customHeight="1" x14ac:dyDescent="0.25">
      <c r="A29" s="60" t="s">
        <v>331</v>
      </c>
      <c r="B29" s="61"/>
      <c r="C29" s="42" t="s">
        <v>324</v>
      </c>
      <c r="D29" s="42"/>
      <c r="E29" s="94" t="str">
        <f t="shared" si="0"/>
        <v>3A</v>
      </c>
      <c r="G29" s="129">
        <v>2</v>
      </c>
      <c r="H29" s="130"/>
      <c r="I29" s="129">
        <v>2</v>
      </c>
      <c r="J29" s="130"/>
      <c r="K29" s="129">
        <v>2</v>
      </c>
      <c r="M29" s="129">
        <v>2</v>
      </c>
      <c r="O29" s="129">
        <f>M29</f>
        <v>2</v>
      </c>
      <c r="Q29" s="129">
        <f>O29</f>
        <v>2</v>
      </c>
    </row>
    <row r="30" spans="1:17" ht="13.5" customHeight="1" x14ac:dyDescent="0.25">
      <c r="A30" s="60" t="s">
        <v>595</v>
      </c>
      <c r="B30" s="61"/>
      <c r="C30" s="42" t="s">
        <v>46</v>
      </c>
      <c r="D30" s="42"/>
      <c r="E30" s="94" t="str">
        <f t="shared" si="0"/>
        <v>4C</v>
      </c>
      <c r="G30" s="129">
        <v>1</v>
      </c>
      <c r="H30" s="130"/>
      <c r="I30" s="129">
        <v>1</v>
      </c>
      <c r="J30" s="130"/>
      <c r="K30" s="129">
        <v>1</v>
      </c>
      <c r="M30" s="129">
        <v>1</v>
      </c>
      <c r="O30" s="129">
        <f>M30</f>
        <v>1</v>
      </c>
      <c r="Q30" s="129">
        <f>O30</f>
        <v>1</v>
      </c>
    </row>
    <row r="31" spans="1:17" ht="13.5" customHeight="1" x14ac:dyDescent="0.25">
      <c r="A31" s="60" t="s">
        <v>596</v>
      </c>
      <c r="B31" s="61"/>
      <c r="C31" s="42" t="s">
        <v>46</v>
      </c>
      <c r="D31" s="42"/>
      <c r="E31" s="94" t="str">
        <f t="shared" si="0"/>
        <v>4C</v>
      </c>
      <c r="G31" s="97">
        <v>10</v>
      </c>
      <c r="H31" s="67"/>
      <c r="I31" s="97">
        <v>10</v>
      </c>
      <c r="J31" s="67"/>
      <c r="K31" s="97">
        <v>10</v>
      </c>
      <c r="L31" s="67"/>
      <c r="M31" s="97">
        <v>10</v>
      </c>
      <c r="O31" s="101">
        <f>M31</f>
        <v>10</v>
      </c>
      <c r="Q31" s="129">
        <f>O31</f>
        <v>10</v>
      </c>
    </row>
    <row r="32" spans="1:17" ht="13.5" customHeight="1" x14ac:dyDescent="0.25">
      <c r="A32" s="137" t="s">
        <v>597</v>
      </c>
      <c r="B32" s="50"/>
      <c r="C32" s="120"/>
      <c r="D32" s="120"/>
      <c r="E32" s="94" t="str">
        <f t="shared" si="0"/>
        <v/>
      </c>
      <c r="G32" s="97">
        <f>SUM(G28:G31)</f>
        <v>14</v>
      </c>
      <c r="H32" s="67"/>
      <c r="I32" s="97">
        <f>SUM(I28:I31)</f>
        <v>14</v>
      </c>
      <c r="J32" s="67"/>
      <c r="K32" s="97">
        <f>SUM(K28:K31)</f>
        <v>14</v>
      </c>
      <c r="L32" s="67"/>
      <c r="M32" s="97">
        <f>SUM(M28:M31)</f>
        <v>14</v>
      </c>
      <c r="O32" s="97">
        <f>SUM(O28:O31)</f>
        <v>14</v>
      </c>
      <c r="Q32" s="98">
        <f>SUM(Q28:Q31)</f>
        <v>14</v>
      </c>
    </row>
    <row r="33" spans="1:17" ht="24" customHeight="1" x14ac:dyDescent="0.25">
      <c r="A33" s="100" t="s">
        <v>598</v>
      </c>
      <c r="B33" s="70"/>
      <c r="C33" s="120"/>
      <c r="D33" s="120"/>
      <c r="E33" s="94" t="str">
        <f t="shared" si="0"/>
        <v/>
      </c>
      <c r="G33" s="131"/>
      <c r="H33" s="119"/>
      <c r="I33" s="131"/>
      <c r="J33" s="119"/>
      <c r="K33" s="131"/>
      <c r="L33" s="119"/>
      <c r="M33" s="131"/>
      <c r="O33" s="131"/>
      <c r="Q33" s="131"/>
    </row>
    <row r="34" spans="1:17" ht="13.5" customHeight="1" x14ac:dyDescent="0.25">
      <c r="A34" s="60" t="s">
        <v>596</v>
      </c>
      <c r="B34" s="61"/>
      <c r="C34" s="42" t="s">
        <v>599</v>
      </c>
      <c r="D34" s="42"/>
      <c r="E34" s="94" t="str">
        <f t="shared" si="0"/>
        <v>4B</v>
      </c>
      <c r="G34" s="97">
        <v>0</v>
      </c>
      <c r="H34" s="67"/>
      <c r="I34" s="97">
        <v>0</v>
      </c>
      <c r="J34" s="67"/>
      <c r="K34" s="97">
        <v>0</v>
      </c>
      <c r="L34" s="67"/>
      <c r="M34" s="97">
        <v>0</v>
      </c>
      <c r="O34" s="97">
        <v>0</v>
      </c>
      <c r="Q34" s="97">
        <f>O34</f>
        <v>0</v>
      </c>
    </row>
    <row r="35" spans="1:17" ht="13.5" customHeight="1" x14ac:dyDescent="0.25">
      <c r="A35" s="137" t="s">
        <v>600</v>
      </c>
      <c r="B35" s="50"/>
      <c r="C35" s="120"/>
      <c r="D35" s="120"/>
      <c r="E35" s="94" t="str">
        <f t="shared" si="0"/>
        <v/>
      </c>
      <c r="G35" s="97">
        <f>SUM(G34:G34)</f>
        <v>0</v>
      </c>
      <c r="H35" s="67"/>
      <c r="I35" s="97">
        <f>SUM(I34:I34)</f>
        <v>0</v>
      </c>
      <c r="J35" s="67"/>
      <c r="K35" s="97">
        <f>SUM(K34:K34)</f>
        <v>0</v>
      </c>
      <c r="L35" s="67"/>
      <c r="M35" s="97">
        <f>SUM(M34:M34)</f>
        <v>0</v>
      </c>
      <c r="O35" s="97">
        <f>SUM(O34:O34)</f>
        <v>0</v>
      </c>
      <c r="Q35" s="98">
        <f>SUM(Q34:Q34)</f>
        <v>0</v>
      </c>
    </row>
    <row r="36" spans="1:17" ht="24" customHeight="1" thickBot="1" x14ac:dyDescent="0.3">
      <c r="A36" s="102" t="s">
        <v>332</v>
      </c>
      <c r="B36" s="61"/>
      <c r="E36" s="94" t="str">
        <f t="shared" si="0"/>
        <v/>
      </c>
      <c r="G36" s="103">
        <f>+G35+G32</f>
        <v>14</v>
      </c>
      <c r="H36" s="119"/>
      <c r="I36" s="103">
        <f>+I35+I32</f>
        <v>14</v>
      </c>
      <c r="J36" s="119"/>
      <c r="K36" s="103">
        <f>+K35+K32</f>
        <v>14</v>
      </c>
      <c r="L36" s="119"/>
      <c r="M36" s="103">
        <f>+M35+M32</f>
        <v>14</v>
      </c>
      <c r="O36" s="103">
        <f>+O35+O32</f>
        <v>14</v>
      </c>
      <c r="Q36" s="147">
        <f>+Q35+Q32</f>
        <v>14</v>
      </c>
    </row>
    <row r="37" spans="1:17" ht="13.5" customHeight="1" thickTop="1" x14ac:dyDescent="0.25">
      <c r="A37" s="99" t="s">
        <v>52</v>
      </c>
      <c r="E37" s="94" t="str">
        <f t="shared" si="0"/>
        <v/>
      </c>
      <c r="G37" s="45"/>
      <c r="H37" s="67"/>
      <c r="I37" s="45"/>
      <c r="J37" s="67"/>
      <c r="K37" s="45"/>
      <c r="L37" s="67"/>
      <c r="M37" s="45"/>
      <c r="O37" s="45"/>
      <c r="Q37" s="45"/>
    </row>
    <row r="38" spans="1:17" ht="13.5" customHeight="1" x14ac:dyDescent="0.25">
      <c r="A38" s="40" t="s">
        <v>601</v>
      </c>
      <c r="B38" s="93" t="s">
        <v>592</v>
      </c>
      <c r="C38" s="15">
        <v>503182</v>
      </c>
      <c r="E38" s="94" t="str">
        <f t="shared" si="0"/>
        <v>00109200503182</v>
      </c>
      <c r="F38" s="42" t="s">
        <v>19</v>
      </c>
      <c r="G38" s="34">
        <f t="shared" ref="G38:G78" si="5">ROUND(IFERROR(VLOOKUP(_xlfn.CONCAT($B38,$C38,$D38),$A$93:$C$9994,3,FALSE),0),0)</f>
        <v>7960</v>
      </c>
      <c r="H38" s="42" t="s">
        <v>19</v>
      </c>
      <c r="I38" s="34">
        <f t="shared" ref="I38:I78" si="6">ROUND(IFERROR(VLOOKUP(_xlfn.CONCAT($B38,$C38,$D38),$A$93:$C$9994,2,FALSE),0),0)</f>
        <v>10220</v>
      </c>
      <c r="J38" s="42" t="s">
        <v>19</v>
      </c>
      <c r="K38" s="45">
        <v>0</v>
      </c>
      <c r="L38" s="42" t="s">
        <v>19</v>
      </c>
      <c r="M38" s="234">
        <v>0</v>
      </c>
      <c r="N38" s="67" t="s">
        <v>19</v>
      </c>
      <c r="O38" s="45">
        <f t="shared" ref="O38:O78" si="7">M38</f>
        <v>0</v>
      </c>
      <c r="P38" s="67" t="s">
        <v>19</v>
      </c>
      <c r="Q38" s="45">
        <f t="shared" ref="Q38:Q78" si="8">O38</f>
        <v>0</v>
      </c>
    </row>
    <row r="39" spans="1:17" ht="13.5" customHeight="1" x14ac:dyDescent="0.25">
      <c r="A39" s="60" t="s">
        <v>602</v>
      </c>
      <c r="B39" s="93" t="s">
        <v>592</v>
      </c>
      <c r="E39" s="94" t="str">
        <f t="shared" si="0"/>
        <v>00109200</v>
      </c>
      <c r="G39" s="34">
        <f t="shared" si="5"/>
        <v>0</v>
      </c>
      <c r="I39" s="34">
        <f t="shared" si="6"/>
        <v>0</v>
      </c>
      <c r="K39" s="45">
        <v>15000</v>
      </c>
      <c r="M39" s="234">
        <v>15000</v>
      </c>
      <c r="O39" s="45">
        <f t="shared" si="7"/>
        <v>15000</v>
      </c>
      <c r="Q39" s="45">
        <f t="shared" si="8"/>
        <v>15000</v>
      </c>
    </row>
    <row r="40" spans="1:17" ht="13.5" customHeight="1" x14ac:dyDescent="0.25">
      <c r="A40" s="60" t="s">
        <v>603</v>
      </c>
      <c r="B40" s="93" t="s">
        <v>592</v>
      </c>
      <c r="E40" s="94" t="str">
        <f t="shared" si="0"/>
        <v>00109200</v>
      </c>
      <c r="G40" s="34">
        <f t="shared" si="5"/>
        <v>0</v>
      </c>
      <c r="H40" s="67"/>
      <c r="I40" s="34">
        <f t="shared" si="6"/>
        <v>0</v>
      </c>
      <c r="J40" s="67"/>
      <c r="K40" s="45">
        <v>10000</v>
      </c>
      <c r="L40" s="67"/>
      <c r="M40" s="234">
        <v>10000</v>
      </c>
      <c r="N40" s="67"/>
      <c r="O40" s="45">
        <f t="shared" si="7"/>
        <v>10000</v>
      </c>
      <c r="Q40" s="45">
        <f t="shared" si="8"/>
        <v>10000</v>
      </c>
    </row>
    <row r="41" spans="1:17" ht="13.5" customHeight="1" x14ac:dyDescent="0.25">
      <c r="A41" s="40" t="s">
        <v>604</v>
      </c>
      <c r="B41" s="93" t="s">
        <v>592</v>
      </c>
      <c r="C41" s="15">
        <v>503185</v>
      </c>
      <c r="E41" s="94" t="str">
        <f t="shared" si="0"/>
        <v>00109200503185</v>
      </c>
      <c r="G41" s="34">
        <f t="shared" si="5"/>
        <v>0</v>
      </c>
      <c r="H41" s="67"/>
      <c r="I41" s="34">
        <f t="shared" si="6"/>
        <v>0</v>
      </c>
      <c r="J41" s="67"/>
      <c r="K41" s="45">
        <v>0</v>
      </c>
      <c r="L41" s="67"/>
      <c r="M41" s="234">
        <v>0</v>
      </c>
      <c r="N41" s="67"/>
      <c r="O41" s="45">
        <f t="shared" si="7"/>
        <v>0</v>
      </c>
      <c r="Q41" s="45">
        <f t="shared" si="8"/>
        <v>0</v>
      </c>
    </row>
    <row r="42" spans="1:17" ht="13.5" customHeight="1" x14ac:dyDescent="0.25">
      <c r="A42" s="40" t="s">
        <v>193</v>
      </c>
      <c r="B42" s="93" t="s">
        <v>592</v>
      </c>
      <c r="C42" s="15">
        <v>503401</v>
      </c>
      <c r="E42" s="94" t="str">
        <f t="shared" si="0"/>
        <v>00109200503401</v>
      </c>
      <c r="G42" s="34">
        <f t="shared" si="5"/>
        <v>0</v>
      </c>
      <c r="H42" s="43"/>
      <c r="I42" s="34">
        <f t="shared" si="6"/>
        <v>0</v>
      </c>
      <c r="J42" s="43"/>
      <c r="K42" s="45">
        <v>0</v>
      </c>
      <c r="L42" s="43"/>
      <c r="M42" s="234">
        <v>0</v>
      </c>
      <c r="N42" s="44"/>
      <c r="O42" s="45">
        <f t="shared" si="7"/>
        <v>0</v>
      </c>
      <c r="Q42" s="45">
        <f t="shared" si="8"/>
        <v>0</v>
      </c>
    </row>
    <row r="43" spans="1:17" ht="13.5" customHeight="1" x14ac:dyDescent="0.25">
      <c r="A43" s="60" t="s">
        <v>605</v>
      </c>
      <c r="B43" s="93" t="s">
        <v>592</v>
      </c>
      <c r="E43" s="94" t="str">
        <f t="shared" si="0"/>
        <v>00109200</v>
      </c>
      <c r="G43" s="34">
        <f t="shared" si="5"/>
        <v>0</v>
      </c>
      <c r="H43" s="67"/>
      <c r="I43" s="34">
        <f t="shared" si="6"/>
        <v>0</v>
      </c>
      <c r="J43" s="67"/>
      <c r="K43" s="45">
        <v>5000</v>
      </c>
      <c r="L43" s="67"/>
      <c r="M43" s="234">
        <v>5000</v>
      </c>
      <c r="N43" s="44"/>
      <c r="O43" s="45">
        <f t="shared" si="7"/>
        <v>5000</v>
      </c>
      <c r="Q43" s="45">
        <f t="shared" si="8"/>
        <v>5000</v>
      </c>
    </row>
    <row r="44" spans="1:17" ht="13.5" customHeight="1" x14ac:dyDescent="0.25">
      <c r="A44" s="40" t="s">
        <v>125</v>
      </c>
      <c r="B44" s="93" t="s">
        <v>592</v>
      </c>
      <c r="C44" s="15">
        <v>503450</v>
      </c>
      <c r="E44" s="94" t="str">
        <f t="shared" si="0"/>
        <v>00109200503450</v>
      </c>
      <c r="G44" s="34">
        <f t="shared" si="5"/>
        <v>2168</v>
      </c>
      <c r="H44" s="67"/>
      <c r="I44" s="34">
        <f t="shared" si="6"/>
        <v>2897</v>
      </c>
      <c r="J44" s="67"/>
      <c r="K44" s="45">
        <v>3000</v>
      </c>
      <c r="L44" s="67"/>
      <c r="M44" s="234">
        <v>3000</v>
      </c>
      <c r="N44" s="67"/>
      <c r="O44" s="45">
        <f t="shared" si="7"/>
        <v>3000</v>
      </c>
      <c r="Q44" s="45">
        <f t="shared" si="8"/>
        <v>3000</v>
      </c>
    </row>
    <row r="45" spans="1:17" ht="13.5" customHeight="1" x14ac:dyDescent="0.25">
      <c r="A45" s="40" t="s">
        <v>226</v>
      </c>
      <c r="B45" s="93" t="s">
        <v>592</v>
      </c>
      <c r="C45" s="15">
        <v>503460</v>
      </c>
      <c r="E45" s="94" t="str">
        <f t="shared" si="0"/>
        <v>00109200503460</v>
      </c>
      <c r="G45" s="34">
        <f t="shared" si="5"/>
        <v>410</v>
      </c>
      <c r="H45" s="67"/>
      <c r="I45" s="34">
        <f t="shared" si="6"/>
        <v>0</v>
      </c>
      <c r="J45" s="67"/>
      <c r="K45" s="45">
        <v>1200</v>
      </c>
      <c r="L45" s="43"/>
      <c r="M45" s="234">
        <v>1200</v>
      </c>
      <c r="N45" s="44"/>
      <c r="O45" s="45">
        <f t="shared" si="7"/>
        <v>1200</v>
      </c>
      <c r="Q45" s="45">
        <f t="shared" si="8"/>
        <v>1200</v>
      </c>
    </row>
    <row r="46" spans="1:17" ht="13.5" customHeight="1" x14ac:dyDescent="0.25">
      <c r="A46" s="40" t="s">
        <v>529</v>
      </c>
      <c r="B46" s="93" t="s">
        <v>592</v>
      </c>
      <c r="C46" s="15">
        <v>503461</v>
      </c>
      <c r="E46" s="94" t="str">
        <f t="shared" si="0"/>
        <v>00109200503461</v>
      </c>
      <c r="G46" s="34">
        <f t="shared" si="5"/>
        <v>150</v>
      </c>
      <c r="H46" s="67"/>
      <c r="I46" s="34">
        <f t="shared" si="6"/>
        <v>300</v>
      </c>
      <c r="J46" s="67"/>
      <c r="K46" s="45">
        <v>750</v>
      </c>
      <c r="L46" s="67"/>
      <c r="M46" s="234">
        <v>750</v>
      </c>
      <c r="N46" s="44"/>
      <c r="O46" s="45">
        <f t="shared" si="7"/>
        <v>750</v>
      </c>
      <c r="Q46" s="45">
        <f t="shared" si="8"/>
        <v>750</v>
      </c>
    </row>
    <row r="47" spans="1:17" ht="13.5" customHeight="1" x14ac:dyDescent="0.25">
      <c r="A47" s="40" t="s">
        <v>530</v>
      </c>
      <c r="B47" s="93" t="s">
        <v>592</v>
      </c>
      <c r="C47" s="15">
        <v>503499</v>
      </c>
      <c r="E47" s="94" t="str">
        <f t="shared" si="0"/>
        <v>00109200503499</v>
      </c>
      <c r="G47" s="34">
        <f t="shared" si="5"/>
        <v>0</v>
      </c>
      <c r="H47" s="67"/>
      <c r="I47" s="34">
        <f t="shared" si="6"/>
        <v>0</v>
      </c>
      <c r="J47" s="67"/>
      <c r="K47" s="45">
        <v>0</v>
      </c>
      <c r="L47" s="67"/>
      <c r="M47" s="234">
        <v>0</v>
      </c>
      <c r="N47" s="44"/>
      <c r="O47" s="45">
        <f t="shared" si="7"/>
        <v>0</v>
      </c>
      <c r="Q47" s="45">
        <f t="shared" si="8"/>
        <v>0</v>
      </c>
    </row>
    <row r="48" spans="1:17" ht="13.5" customHeight="1" x14ac:dyDescent="0.25">
      <c r="A48" s="40" t="s">
        <v>606</v>
      </c>
      <c r="B48" s="93" t="s">
        <v>592</v>
      </c>
      <c r="C48" s="69"/>
      <c r="D48" s="69"/>
      <c r="E48" s="94" t="str">
        <f t="shared" si="0"/>
        <v>00109200</v>
      </c>
      <c r="G48" s="34">
        <f t="shared" si="5"/>
        <v>0</v>
      </c>
      <c r="H48" s="67"/>
      <c r="I48" s="34">
        <f t="shared" si="6"/>
        <v>0</v>
      </c>
      <c r="J48" s="67"/>
      <c r="K48" s="122">
        <v>0</v>
      </c>
      <c r="L48" s="67"/>
      <c r="M48" s="239">
        <v>0</v>
      </c>
      <c r="N48" s="44"/>
      <c r="O48" s="45">
        <f t="shared" si="7"/>
        <v>0</v>
      </c>
      <c r="Q48" s="45">
        <f t="shared" si="8"/>
        <v>0</v>
      </c>
    </row>
    <row r="49" spans="1:17" ht="13.5" customHeight="1" x14ac:dyDescent="0.25">
      <c r="A49" s="40" t="s">
        <v>339</v>
      </c>
      <c r="B49" s="93" t="s">
        <v>592</v>
      </c>
      <c r="C49" s="69"/>
      <c r="D49" s="69"/>
      <c r="E49" s="94" t="str">
        <f t="shared" si="0"/>
        <v>00109200</v>
      </c>
      <c r="G49" s="34">
        <f t="shared" si="5"/>
        <v>0</v>
      </c>
      <c r="H49" s="67"/>
      <c r="I49" s="34">
        <f t="shared" si="6"/>
        <v>0</v>
      </c>
      <c r="J49" s="67"/>
      <c r="K49" s="122">
        <v>0</v>
      </c>
      <c r="L49" s="67"/>
      <c r="M49" s="239">
        <v>0</v>
      </c>
      <c r="N49" s="44"/>
      <c r="O49" s="45">
        <f t="shared" si="7"/>
        <v>0</v>
      </c>
      <c r="Q49" s="45">
        <f t="shared" si="8"/>
        <v>0</v>
      </c>
    </row>
    <row r="50" spans="1:17" ht="13.5" customHeight="1" x14ac:dyDescent="0.25">
      <c r="A50" s="40" t="s">
        <v>61</v>
      </c>
      <c r="B50" s="93" t="s">
        <v>592</v>
      </c>
      <c r="C50" s="42">
        <v>504060</v>
      </c>
      <c r="D50" s="42"/>
      <c r="E50" s="94" t="str">
        <f t="shared" si="0"/>
        <v>00109200504060</v>
      </c>
      <c r="G50" s="34">
        <f t="shared" si="5"/>
        <v>454</v>
      </c>
      <c r="H50" s="67"/>
      <c r="I50" s="34">
        <f t="shared" si="6"/>
        <v>1360</v>
      </c>
      <c r="J50" s="67"/>
      <c r="K50" s="45">
        <v>750</v>
      </c>
      <c r="L50" s="67"/>
      <c r="M50" s="234">
        <v>750</v>
      </c>
      <c r="N50" s="44"/>
      <c r="O50" s="45">
        <f t="shared" si="7"/>
        <v>750</v>
      </c>
      <c r="Q50" s="45">
        <f t="shared" si="8"/>
        <v>750</v>
      </c>
    </row>
    <row r="51" spans="1:17" ht="13.5" customHeight="1" x14ac:dyDescent="0.25">
      <c r="A51" s="40" t="s">
        <v>531</v>
      </c>
      <c r="B51" s="93" t="s">
        <v>592</v>
      </c>
      <c r="C51" s="42">
        <v>504070</v>
      </c>
      <c r="D51" s="42"/>
      <c r="E51" s="94" t="str">
        <f t="shared" si="0"/>
        <v>00109200504070</v>
      </c>
      <c r="G51" s="34">
        <f t="shared" si="5"/>
        <v>0</v>
      </c>
      <c r="H51" s="67"/>
      <c r="I51" s="34">
        <f t="shared" si="6"/>
        <v>0</v>
      </c>
      <c r="J51" s="67"/>
      <c r="K51" s="45">
        <v>0</v>
      </c>
      <c r="L51" s="67"/>
      <c r="M51" s="234">
        <v>0</v>
      </c>
      <c r="N51" s="44"/>
      <c r="O51" s="45">
        <f t="shared" si="7"/>
        <v>0</v>
      </c>
      <c r="Q51" s="45">
        <f t="shared" si="8"/>
        <v>0</v>
      </c>
    </row>
    <row r="52" spans="1:17" ht="13.5" customHeight="1" x14ac:dyDescent="0.25">
      <c r="A52" s="40" t="s">
        <v>127</v>
      </c>
      <c r="B52" s="93" t="s">
        <v>592</v>
      </c>
      <c r="C52" s="42">
        <v>504430</v>
      </c>
      <c r="D52" s="42"/>
      <c r="E52" s="94" t="str">
        <f t="shared" si="0"/>
        <v>00109200504430</v>
      </c>
      <c r="G52" s="34">
        <f t="shared" si="5"/>
        <v>0</v>
      </c>
      <c r="H52" s="67"/>
      <c r="I52" s="34">
        <f t="shared" si="6"/>
        <v>0</v>
      </c>
      <c r="J52" s="67"/>
      <c r="K52" s="45">
        <v>3500</v>
      </c>
      <c r="L52" s="67"/>
      <c r="M52" s="234">
        <v>3500</v>
      </c>
      <c r="N52" s="44"/>
      <c r="O52" s="45">
        <f t="shared" si="7"/>
        <v>3500</v>
      </c>
      <c r="Q52" s="45">
        <f t="shared" si="8"/>
        <v>3500</v>
      </c>
    </row>
    <row r="53" spans="1:17" ht="13.5" customHeight="1" x14ac:dyDescent="0.25">
      <c r="A53" s="40" t="s">
        <v>66</v>
      </c>
      <c r="B53" s="93" t="s">
        <v>592</v>
      </c>
      <c r="C53" s="42">
        <v>504450</v>
      </c>
      <c r="D53" s="42"/>
      <c r="E53" s="94" t="str">
        <f t="shared" si="0"/>
        <v>00109200504450</v>
      </c>
      <c r="G53" s="34">
        <f t="shared" si="5"/>
        <v>-773</v>
      </c>
      <c r="H53" s="67"/>
      <c r="I53" s="34">
        <f t="shared" si="6"/>
        <v>0</v>
      </c>
      <c r="J53" s="67"/>
      <c r="K53" s="45">
        <v>0</v>
      </c>
      <c r="L53" s="67"/>
      <c r="M53" s="234">
        <v>0</v>
      </c>
      <c r="N53" s="44"/>
      <c r="O53" s="45">
        <f t="shared" si="7"/>
        <v>0</v>
      </c>
      <c r="Q53" s="45">
        <f t="shared" si="8"/>
        <v>0</v>
      </c>
    </row>
    <row r="54" spans="1:17" ht="13.5" customHeight="1" x14ac:dyDescent="0.25">
      <c r="A54" s="60" t="s">
        <v>607</v>
      </c>
      <c r="B54" s="93" t="s">
        <v>592</v>
      </c>
      <c r="C54" s="42"/>
      <c r="D54" s="42"/>
      <c r="E54" s="94" t="str">
        <f t="shared" si="0"/>
        <v>00109200</v>
      </c>
      <c r="G54" s="34">
        <f t="shared" si="5"/>
        <v>0</v>
      </c>
      <c r="H54" s="67"/>
      <c r="I54" s="34">
        <f t="shared" si="6"/>
        <v>0</v>
      </c>
      <c r="J54" s="67"/>
      <c r="K54" s="45">
        <v>30000</v>
      </c>
      <c r="L54" s="67"/>
      <c r="M54" s="234">
        <v>30000</v>
      </c>
      <c r="N54" s="44"/>
      <c r="O54" s="45">
        <f t="shared" si="7"/>
        <v>30000</v>
      </c>
      <c r="Q54" s="45">
        <f t="shared" si="8"/>
        <v>30000</v>
      </c>
    </row>
    <row r="55" spans="1:17" ht="13.5" customHeight="1" x14ac:dyDescent="0.25">
      <c r="A55" s="40" t="s">
        <v>128</v>
      </c>
      <c r="B55" s="93" t="s">
        <v>592</v>
      </c>
      <c r="C55" s="42">
        <v>504601</v>
      </c>
      <c r="D55" s="42"/>
      <c r="E55" s="94" t="str">
        <f t="shared" si="0"/>
        <v>00109200504601</v>
      </c>
      <c r="G55" s="34">
        <f t="shared" si="5"/>
        <v>8979</v>
      </c>
      <c r="H55" s="67"/>
      <c r="I55" s="34">
        <f t="shared" si="6"/>
        <v>11527</v>
      </c>
      <c r="J55" s="67"/>
      <c r="K55" s="45">
        <v>27500</v>
      </c>
      <c r="L55" s="67"/>
      <c r="M55" s="234">
        <v>27500</v>
      </c>
      <c r="N55" s="44"/>
      <c r="O55" s="45">
        <f t="shared" si="7"/>
        <v>27500</v>
      </c>
      <c r="Q55" s="45">
        <f t="shared" si="8"/>
        <v>27500</v>
      </c>
    </row>
    <row r="56" spans="1:17" ht="13.5" customHeight="1" x14ac:dyDescent="0.25">
      <c r="A56" s="40" t="s">
        <v>135</v>
      </c>
      <c r="B56" s="93" t="s">
        <v>592</v>
      </c>
      <c r="C56" s="42">
        <v>504620</v>
      </c>
      <c r="E56" s="94" t="str">
        <f t="shared" si="0"/>
        <v>00109200504620</v>
      </c>
      <c r="G56" s="34">
        <f t="shared" si="5"/>
        <v>3117</v>
      </c>
      <c r="H56" s="67"/>
      <c r="I56" s="34">
        <f t="shared" si="6"/>
        <v>8837</v>
      </c>
      <c r="J56" s="67"/>
      <c r="K56" s="45">
        <v>6000</v>
      </c>
      <c r="L56" s="67"/>
      <c r="M56" s="234">
        <v>6000</v>
      </c>
      <c r="N56" s="44"/>
      <c r="O56" s="45">
        <f t="shared" si="7"/>
        <v>6000</v>
      </c>
      <c r="Q56" s="45">
        <f t="shared" si="8"/>
        <v>6000</v>
      </c>
    </row>
    <row r="57" spans="1:17" ht="13.5" customHeight="1" x14ac:dyDescent="0.25">
      <c r="A57" s="60" t="s">
        <v>608</v>
      </c>
      <c r="B57" s="93" t="s">
        <v>592</v>
      </c>
      <c r="E57" s="94" t="str">
        <f t="shared" si="0"/>
        <v>00109200</v>
      </c>
      <c r="G57" s="34">
        <f t="shared" si="5"/>
        <v>0</v>
      </c>
      <c r="H57" s="67"/>
      <c r="I57" s="34">
        <f t="shared" si="6"/>
        <v>0</v>
      </c>
      <c r="J57" s="67"/>
      <c r="K57" s="45">
        <v>3800</v>
      </c>
      <c r="L57" s="67"/>
      <c r="M57" s="234">
        <v>3800</v>
      </c>
      <c r="N57" s="44"/>
      <c r="O57" s="45">
        <f t="shared" si="7"/>
        <v>3800</v>
      </c>
      <c r="Q57" s="45">
        <f t="shared" si="8"/>
        <v>3800</v>
      </c>
    </row>
    <row r="58" spans="1:17" ht="13.5" customHeight="1" x14ac:dyDescent="0.25">
      <c r="A58" s="60" t="s">
        <v>609</v>
      </c>
      <c r="B58" s="93" t="s">
        <v>592</v>
      </c>
      <c r="E58" s="94" t="str">
        <f t="shared" si="0"/>
        <v>00109200</v>
      </c>
      <c r="G58" s="34">
        <f t="shared" si="5"/>
        <v>0</v>
      </c>
      <c r="H58" s="67"/>
      <c r="I58" s="34">
        <f t="shared" si="6"/>
        <v>0</v>
      </c>
      <c r="J58" s="67"/>
      <c r="K58" s="45">
        <v>5000</v>
      </c>
      <c r="L58" s="67"/>
      <c r="M58" s="234">
        <v>5000</v>
      </c>
      <c r="N58" s="44"/>
      <c r="O58" s="45">
        <f t="shared" si="7"/>
        <v>5000</v>
      </c>
      <c r="Q58" s="45">
        <f t="shared" si="8"/>
        <v>5000</v>
      </c>
    </row>
    <row r="59" spans="1:17" ht="13.5" customHeight="1" x14ac:dyDescent="0.25">
      <c r="A59" s="40" t="s">
        <v>139</v>
      </c>
      <c r="B59" s="93" t="s">
        <v>592</v>
      </c>
      <c r="C59" s="42">
        <v>504675</v>
      </c>
      <c r="D59" s="42"/>
      <c r="E59" s="94" t="str">
        <f t="shared" si="0"/>
        <v>00109200504675</v>
      </c>
      <c r="G59" s="34">
        <f t="shared" si="5"/>
        <v>0</v>
      </c>
      <c r="H59" s="67"/>
      <c r="I59" s="34">
        <f t="shared" si="6"/>
        <v>1250</v>
      </c>
      <c r="J59" s="67"/>
      <c r="K59" s="45">
        <v>8000</v>
      </c>
      <c r="L59" s="67"/>
      <c r="M59" s="234">
        <v>8000</v>
      </c>
      <c r="N59" s="44"/>
      <c r="O59" s="45">
        <f t="shared" si="7"/>
        <v>8000</v>
      </c>
      <c r="Q59" s="45">
        <f t="shared" si="8"/>
        <v>8000</v>
      </c>
    </row>
    <row r="60" spans="1:17" ht="13.5" customHeight="1" x14ac:dyDescent="0.25">
      <c r="A60" s="40" t="s">
        <v>140</v>
      </c>
      <c r="B60" s="93" t="s">
        <v>592</v>
      </c>
      <c r="C60" s="42">
        <v>504683</v>
      </c>
      <c r="D60" s="42"/>
      <c r="E60" s="94" t="str">
        <f t="shared" si="0"/>
        <v>00109200504683</v>
      </c>
      <c r="G60" s="34">
        <f t="shared" si="5"/>
        <v>36680</v>
      </c>
      <c r="H60" s="67"/>
      <c r="I60" s="34">
        <f t="shared" si="6"/>
        <v>17897</v>
      </c>
      <c r="J60" s="67"/>
      <c r="K60" s="45">
        <v>0</v>
      </c>
      <c r="L60" s="67"/>
      <c r="M60" s="234">
        <v>0</v>
      </c>
      <c r="N60" s="44"/>
      <c r="O60" s="45">
        <f t="shared" si="7"/>
        <v>0</v>
      </c>
      <c r="Q60" s="45">
        <f t="shared" si="8"/>
        <v>0</v>
      </c>
    </row>
    <row r="61" spans="1:17" ht="13.5" customHeight="1" x14ac:dyDescent="0.25">
      <c r="A61" s="60" t="s">
        <v>610</v>
      </c>
      <c r="B61" s="93" t="s">
        <v>592</v>
      </c>
      <c r="C61" s="42"/>
      <c r="D61" s="42"/>
      <c r="E61" s="94" t="str">
        <f t="shared" si="0"/>
        <v>00109200</v>
      </c>
      <c r="G61" s="34">
        <f t="shared" si="5"/>
        <v>0</v>
      </c>
      <c r="H61" s="67"/>
      <c r="I61" s="34">
        <f t="shared" si="6"/>
        <v>0</v>
      </c>
      <c r="J61" s="67"/>
      <c r="K61" s="45">
        <v>25000</v>
      </c>
      <c r="L61" s="67"/>
      <c r="M61" s="234">
        <v>25000</v>
      </c>
      <c r="N61" s="44"/>
      <c r="O61" s="45">
        <f t="shared" si="7"/>
        <v>25000</v>
      </c>
      <c r="Q61" s="45">
        <f t="shared" si="8"/>
        <v>25000</v>
      </c>
    </row>
    <row r="62" spans="1:17" ht="13.5" customHeight="1" x14ac:dyDescent="0.25">
      <c r="A62" s="60" t="s">
        <v>611</v>
      </c>
      <c r="B62" s="93" t="s">
        <v>592</v>
      </c>
      <c r="C62" s="42"/>
      <c r="D62" s="42"/>
      <c r="E62" s="94" t="str">
        <f t="shared" si="0"/>
        <v>00109200</v>
      </c>
      <c r="G62" s="34">
        <f t="shared" si="5"/>
        <v>0</v>
      </c>
      <c r="H62" s="67"/>
      <c r="I62" s="34">
        <f t="shared" si="6"/>
        <v>0</v>
      </c>
      <c r="J62" s="67"/>
      <c r="K62" s="45">
        <v>22000</v>
      </c>
      <c r="L62" s="67"/>
      <c r="M62" s="234">
        <v>22000</v>
      </c>
      <c r="N62" s="44"/>
      <c r="O62" s="45">
        <f t="shared" si="7"/>
        <v>22000</v>
      </c>
      <c r="Q62" s="45">
        <f t="shared" si="8"/>
        <v>22000</v>
      </c>
    </row>
    <row r="63" spans="1:17" ht="13.5" customHeight="1" x14ac:dyDescent="0.25">
      <c r="A63" s="40" t="s">
        <v>142</v>
      </c>
      <c r="B63" s="93" t="s">
        <v>592</v>
      </c>
      <c r="C63" s="42">
        <v>504699</v>
      </c>
      <c r="D63" s="42"/>
      <c r="E63" s="94" t="str">
        <f t="shared" si="0"/>
        <v>00109200504699</v>
      </c>
      <c r="G63" s="34">
        <f t="shared" si="5"/>
        <v>2041</v>
      </c>
      <c r="H63" s="67"/>
      <c r="I63" s="34">
        <f t="shared" si="6"/>
        <v>0</v>
      </c>
      <c r="J63" s="67"/>
      <c r="K63" s="45">
        <v>0</v>
      </c>
      <c r="L63" s="67"/>
      <c r="M63" s="234">
        <v>0</v>
      </c>
      <c r="N63" s="44"/>
      <c r="O63" s="45">
        <f t="shared" si="7"/>
        <v>0</v>
      </c>
      <c r="Q63" s="45">
        <f t="shared" si="8"/>
        <v>0</v>
      </c>
    </row>
    <row r="64" spans="1:17" ht="13.5" customHeight="1" x14ac:dyDescent="0.25">
      <c r="A64" s="40" t="s">
        <v>612</v>
      </c>
      <c r="B64" s="93" t="s">
        <v>592</v>
      </c>
      <c r="C64" s="42">
        <v>504871</v>
      </c>
      <c r="D64" s="42"/>
      <c r="E64" s="94" t="str">
        <f t="shared" si="0"/>
        <v>00109200504871</v>
      </c>
      <c r="G64" s="34">
        <f t="shared" si="5"/>
        <v>0</v>
      </c>
      <c r="H64" s="67"/>
      <c r="I64" s="34">
        <f t="shared" si="6"/>
        <v>0</v>
      </c>
      <c r="J64" s="67"/>
      <c r="K64" s="45">
        <v>1000</v>
      </c>
      <c r="L64" s="67"/>
      <c r="M64" s="234">
        <v>1000</v>
      </c>
      <c r="N64" s="44"/>
      <c r="O64" s="45">
        <f t="shared" si="7"/>
        <v>1000</v>
      </c>
      <c r="Q64" s="45">
        <f t="shared" si="8"/>
        <v>1000</v>
      </c>
    </row>
    <row r="65" spans="1:17" ht="13.5" customHeight="1" x14ac:dyDescent="0.25">
      <c r="A65" s="40" t="s">
        <v>68</v>
      </c>
      <c r="B65" s="93" t="s">
        <v>592</v>
      </c>
      <c r="C65" s="42">
        <v>505101</v>
      </c>
      <c r="D65" s="42"/>
      <c r="E65" s="94" t="str">
        <f t="shared" si="0"/>
        <v>00109200505101</v>
      </c>
      <c r="G65" s="34">
        <f t="shared" si="5"/>
        <v>0</v>
      </c>
      <c r="H65" s="67"/>
      <c r="I65" s="34">
        <f t="shared" si="6"/>
        <v>0</v>
      </c>
      <c r="J65" s="67"/>
      <c r="K65" s="45">
        <v>0</v>
      </c>
      <c r="L65" s="67"/>
      <c r="M65" s="234">
        <v>0</v>
      </c>
      <c r="N65" s="44"/>
      <c r="O65" s="45">
        <f t="shared" si="7"/>
        <v>0</v>
      </c>
      <c r="Q65" s="45">
        <f t="shared" si="8"/>
        <v>0</v>
      </c>
    </row>
    <row r="66" spans="1:17" ht="13.5" customHeight="1" x14ac:dyDescent="0.25">
      <c r="A66" s="40" t="s">
        <v>69</v>
      </c>
      <c r="B66" s="93" t="s">
        <v>592</v>
      </c>
      <c r="C66" s="69">
        <v>505201</v>
      </c>
      <c r="D66" s="69"/>
      <c r="E66" s="94" t="str">
        <f t="shared" si="0"/>
        <v>00109200505201</v>
      </c>
      <c r="G66" s="34">
        <f t="shared" si="5"/>
        <v>16578</v>
      </c>
      <c r="H66" s="67"/>
      <c r="I66" s="34">
        <f t="shared" si="6"/>
        <v>15473</v>
      </c>
      <c r="J66" s="67"/>
      <c r="K66" s="113">
        <v>17000</v>
      </c>
      <c r="L66" s="67"/>
      <c r="M66" s="238">
        <v>17000</v>
      </c>
      <c r="N66" s="44"/>
      <c r="O66" s="45">
        <f t="shared" si="7"/>
        <v>17000</v>
      </c>
      <c r="Q66" s="45">
        <f t="shared" si="8"/>
        <v>17000</v>
      </c>
    </row>
    <row r="67" spans="1:17" ht="13.5" customHeight="1" x14ac:dyDescent="0.25">
      <c r="A67" s="40" t="s">
        <v>537</v>
      </c>
      <c r="B67" s="93" t="s">
        <v>592</v>
      </c>
      <c r="C67" s="69"/>
      <c r="D67" s="69"/>
      <c r="E67" s="94" t="str">
        <f t="shared" si="0"/>
        <v>00109200</v>
      </c>
      <c r="G67" s="34">
        <f t="shared" si="5"/>
        <v>0</v>
      </c>
      <c r="H67" s="67"/>
      <c r="I67" s="34">
        <f t="shared" si="6"/>
        <v>0</v>
      </c>
      <c r="J67" s="67"/>
      <c r="K67" s="113">
        <v>0</v>
      </c>
      <c r="L67" s="67"/>
      <c r="M67" s="238">
        <v>0</v>
      </c>
      <c r="N67" s="44"/>
      <c r="O67" s="45">
        <f t="shared" si="7"/>
        <v>0</v>
      </c>
      <c r="Q67" s="45">
        <f t="shared" si="8"/>
        <v>0</v>
      </c>
    </row>
    <row r="68" spans="1:17" ht="13.5" customHeight="1" x14ac:dyDescent="0.25">
      <c r="A68" s="40" t="s">
        <v>367</v>
      </c>
      <c r="B68" s="93" t="s">
        <v>592</v>
      </c>
      <c r="C68" s="69">
        <v>505401</v>
      </c>
      <c r="D68" s="69"/>
      <c r="E68" s="94" t="str">
        <f t="shared" si="0"/>
        <v>00109200505401</v>
      </c>
      <c r="G68" s="34">
        <f t="shared" si="5"/>
        <v>0</v>
      </c>
      <c r="H68" s="67"/>
      <c r="I68" s="34">
        <f t="shared" si="6"/>
        <v>0</v>
      </c>
      <c r="J68" s="67"/>
      <c r="K68" s="113">
        <v>200</v>
      </c>
      <c r="L68" s="67"/>
      <c r="M68" s="238">
        <v>200</v>
      </c>
      <c r="N68" s="44"/>
      <c r="O68" s="45">
        <f t="shared" si="7"/>
        <v>200</v>
      </c>
      <c r="Q68" s="45">
        <f t="shared" si="8"/>
        <v>200</v>
      </c>
    </row>
    <row r="69" spans="1:17" ht="13.5" customHeight="1" x14ac:dyDescent="0.25">
      <c r="A69" s="40" t="s">
        <v>368</v>
      </c>
      <c r="B69" s="93" t="s">
        <v>592</v>
      </c>
      <c r="C69" s="69"/>
      <c r="D69" s="69"/>
      <c r="E69" s="94" t="str">
        <f t="shared" si="0"/>
        <v>00109200</v>
      </c>
      <c r="G69" s="34">
        <f t="shared" si="5"/>
        <v>0</v>
      </c>
      <c r="H69" s="67"/>
      <c r="I69" s="34">
        <f t="shared" si="6"/>
        <v>0</v>
      </c>
      <c r="J69" s="67"/>
      <c r="K69" s="113">
        <v>0</v>
      </c>
      <c r="L69" s="67"/>
      <c r="M69" s="238">
        <v>0</v>
      </c>
      <c r="N69" s="44"/>
      <c r="O69" s="45">
        <f t="shared" si="7"/>
        <v>0</v>
      </c>
      <c r="Q69" s="45">
        <f t="shared" si="8"/>
        <v>0</v>
      </c>
    </row>
    <row r="70" spans="1:17" ht="13.5" customHeight="1" x14ac:dyDescent="0.25">
      <c r="A70" s="40" t="s">
        <v>143</v>
      </c>
      <c r="B70" s="93" t="s">
        <v>592</v>
      </c>
      <c r="C70" s="69">
        <v>505505</v>
      </c>
      <c r="D70" s="69"/>
      <c r="E70" s="94" t="str">
        <f t="shared" si="0"/>
        <v>00109200505505</v>
      </c>
      <c r="G70" s="34">
        <f t="shared" si="5"/>
        <v>6672</v>
      </c>
      <c r="H70" s="67"/>
      <c r="I70" s="34">
        <f t="shared" si="6"/>
        <v>7116</v>
      </c>
      <c r="J70" s="67"/>
      <c r="K70" s="113">
        <v>6000</v>
      </c>
      <c r="L70" s="67"/>
      <c r="M70" s="238">
        <v>6000</v>
      </c>
      <c r="N70" s="44"/>
      <c r="O70" s="45">
        <f t="shared" si="7"/>
        <v>6000</v>
      </c>
      <c r="Q70" s="45">
        <f t="shared" si="8"/>
        <v>6000</v>
      </c>
    </row>
    <row r="71" spans="1:17" ht="13.5" customHeight="1" x14ac:dyDescent="0.25">
      <c r="A71" s="40" t="s">
        <v>144</v>
      </c>
      <c r="B71" s="93" t="s">
        <v>592</v>
      </c>
      <c r="C71" s="69">
        <v>505532</v>
      </c>
      <c r="D71" s="69"/>
      <c r="E71" s="94" t="str">
        <f t="shared" si="0"/>
        <v>00109200505532</v>
      </c>
      <c r="G71" s="34">
        <f t="shared" si="5"/>
        <v>2431</v>
      </c>
      <c r="H71" s="67"/>
      <c r="I71" s="34">
        <f t="shared" si="6"/>
        <v>2046</v>
      </c>
      <c r="J71" s="67"/>
      <c r="K71" s="113">
        <v>4125</v>
      </c>
      <c r="L71" s="67"/>
      <c r="M71" s="238">
        <v>4125</v>
      </c>
      <c r="N71" s="44"/>
      <c r="O71" s="45">
        <f t="shared" si="7"/>
        <v>4125</v>
      </c>
      <c r="Q71" s="45">
        <f t="shared" si="8"/>
        <v>4125</v>
      </c>
    </row>
    <row r="72" spans="1:17" ht="13.5" customHeight="1" x14ac:dyDescent="0.25">
      <c r="A72" s="40" t="s">
        <v>145</v>
      </c>
      <c r="B72" s="93" t="s">
        <v>592</v>
      </c>
      <c r="C72" s="69">
        <v>505540</v>
      </c>
      <c r="D72" s="69"/>
      <c r="E72" s="94" t="str">
        <f t="shared" si="0"/>
        <v>00109200505540</v>
      </c>
      <c r="G72" s="34">
        <f t="shared" si="5"/>
        <v>838</v>
      </c>
      <c r="H72" s="67"/>
      <c r="I72" s="34">
        <f t="shared" si="6"/>
        <v>0</v>
      </c>
      <c r="J72" s="67"/>
      <c r="K72" s="67">
        <v>500</v>
      </c>
      <c r="L72" s="67"/>
      <c r="M72" s="240">
        <v>500</v>
      </c>
      <c r="N72" s="44"/>
      <c r="O72" s="45">
        <f t="shared" si="7"/>
        <v>500</v>
      </c>
      <c r="Q72" s="45">
        <f t="shared" si="8"/>
        <v>500</v>
      </c>
    </row>
    <row r="73" spans="1:17" ht="13.5" customHeight="1" x14ac:dyDescent="0.25">
      <c r="A73" s="40" t="s">
        <v>72</v>
      </c>
      <c r="B73" s="93" t="s">
        <v>592</v>
      </c>
      <c r="C73" s="69">
        <v>505550</v>
      </c>
      <c r="D73" s="69"/>
      <c r="E73" s="94" t="str">
        <f t="shared" si="0"/>
        <v>00109200505550</v>
      </c>
      <c r="G73" s="34">
        <f t="shared" si="5"/>
        <v>2818</v>
      </c>
      <c r="H73" s="67"/>
      <c r="I73" s="34">
        <f t="shared" si="6"/>
        <v>2169</v>
      </c>
      <c r="J73" s="67"/>
      <c r="K73" s="67">
        <v>15000</v>
      </c>
      <c r="L73" s="67"/>
      <c r="M73" s="240">
        <v>15000</v>
      </c>
      <c r="N73" s="44"/>
      <c r="O73" s="45">
        <f t="shared" si="7"/>
        <v>15000</v>
      </c>
      <c r="Q73" s="45">
        <f t="shared" si="8"/>
        <v>15000</v>
      </c>
    </row>
    <row r="74" spans="1:17" ht="13.5" customHeight="1" x14ac:dyDescent="0.25">
      <c r="A74" s="40" t="s">
        <v>613</v>
      </c>
      <c r="B74" s="93" t="s">
        <v>592</v>
      </c>
      <c r="C74" s="42">
        <v>505601</v>
      </c>
      <c r="D74" s="42"/>
      <c r="E74" s="94" t="str">
        <f t="shared" si="0"/>
        <v>00109200505601</v>
      </c>
      <c r="G74" s="34">
        <f t="shared" si="5"/>
        <v>304</v>
      </c>
      <c r="H74" s="67"/>
      <c r="I74" s="34">
        <f t="shared" si="6"/>
        <v>609</v>
      </c>
      <c r="J74" s="67"/>
      <c r="K74" s="45">
        <v>1000</v>
      </c>
      <c r="L74" s="67"/>
      <c r="M74" s="234">
        <v>1000</v>
      </c>
      <c r="N74" s="44"/>
      <c r="O74" s="45">
        <f t="shared" si="7"/>
        <v>1000</v>
      </c>
      <c r="Q74" s="45">
        <f t="shared" si="8"/>
        <v>1000</v>
      </c>
    </row>
    <row r="75" spans="1:17" ht="13.5" customHeight="1" x14ac:dyDescent="0.25">
      <c r="A75" s="40" t="s">
        <v>369</v>
      </c>
      <c r="B75" s="93" t="s">
        <v>592</v>
      </c>
      <c r="C75" s="69">
        <v>505701</v>
      </c>
      <c r="D75" s="69"/>
      <c r="E75" s="94" t="str">
        <f t="shared" si="0"/>
        <v>00109200505701</v>
      </c>
      <c r="G75" s="34">
        <f t="shared" si="5"/>
        <v>2018</v>
      </c>
      <c r="H75" s="67"/>
      <c r="I75" s="34">
        <f t="shared" si="6"/>
        <v>0</v>
      </c>
      <c r="J75" s="67"/>
      <c r="K75" s="113">
        <v>0</v>
      </c>
      <c r="L75" s="67"/>
      <c r="M75" s="238">
        <v>0</v>
      </c>
      <c r="N75" s="44"/>
      <c r="O75" s="45">
        <f t="shared" si="7"/>
        <v>0</v>
      </c>
      <c r="Q75" s="45">
        <f t="shared" si="8"/>
        <v>0</v>
      </c>
    </row>
    <row r="76" spans="1:17" ht="13.5" customHeight="1" x14ac:dyDescent="0.25">
      <c r="A76" s="40" t="s">
        <v>614</v>
      </c>
      <c r="B76" s="93" t="s">
        <v>592</v>
      </c>
      <c r="C76" s="69">
        <v>505710</v>
      </c>
      <c r="D76" s="69"/>
      <c r="E76" s="94" t="str">
        <f t="shared" si="0"/>
        <v>00109200505710</v>
      </c>
      <c r="G76" s="34">
        <f t="shared" si="5"/>
        <v>0</v>
      </c>
      <c r="H76" s="67"/>
      <c r="I76" s="34">
        <f t="shared" si="6"/>
        <v>0</v>
      </c>
      <c r="J76" s="67"/>
      <c r="K76" s="113">
        <v>0</v>
      </c>
      <c r="L76" s="67"/>
      <c r="M76" s="238">
        <v>0</v>
      </c>
      <c r="N76" s="44"/>
      <c r="O76" s="45">
        <f t="shared" si="7"/>
        <v>0</v>
      </c>
      <c r="Q76" s="45">
        <f t="shared" si="8"/>
        <v>0</v>
      </c>
    </row>
    <row r="77" spans="1:17" ht="13.5" customHeight="1" x14ac:dyDescent="0.25">
      <c r="A77" s="40" t="s">
        <v>147</v>
      </c>
      <c r="B77" s="93" t="s">
        <v>592</v>
      </c>
      <c r="C77" s="69">
        <v>505750</v>
      </c>
      <c r="E77" s="94" t="str">
        <f t="shared" ref="E77:E78" si="9">_xlfn.CONCAT(B77,C77,D77)</f>
        <v>00109200505750</v>
      </c>
      <c r="G77" s="34">
        <f t="shared" si="5"/>
        <v>1734</v>
      </c>
      <c r="H77" s="67"/>
      <c r="I77" s="34">
        <f t="shared" si="6"/>
        <v>0</v>
      </c>
      <c r="J77" s="67"/>
      <c r="K77" s="113">
        <v>0</v>
      </c>
      <c r="L77" s="67"/>
      <c r="M77" s="238">
        <v>0</v>
      </c>
      <c r="N77" s="44"/>
      <c r="O77" s="45">
        <f t="shared" si="7"/>
        <v>0</v>
      </c>
      <c r="Q77" s="45">
        <f t="shared" si="8"/>
        <v>0</v>
      </c>
    </row>
    <row r="78" spans="1:17" ht="15" customHeight="1" x14ac:dyDescent="0.25">
      <c r="A78" s="40" t="s">
        <v>615</v>
      </c>
      <c r="B78" s="93" t="s">
        <v>592</v>
      </c>
      <c r="C78" s="15">
        <v>505801</v>
      </c>
      <c r="E78" s="94" t="str">
        <f t="shared" si="9"/>
        <v>00109200505801</v>
      </c>
      <c r="G78" s="34">
        <f t="shared" si="5"/>
        <v>0</v>
      </c>
      <c r="H78" s="43"/>
      <c r="I78" s="34">
        <f t="shared" si="6"/>
        <v>351</v>
      </c>
      <c r="J78" s="43"/>
      <c r="K78" s="72">
        <v>0</v>
      </c>
      <c r="L78" s="43"/>
      <c r="M78" s="237">
        <v>0</v>
      </c>
      <c r="N78" s="39"/>
      <c r="O78" s="45">
        <f t="shared" si="7"/>
        <v>0</v>
      </c>
      <c r="Q78" s="45">
        <f t="shared" si="8"/>
        <v>0</v>
      </c>
    </row>
    <row r="79" spans="1:17" ht="15" customHeight="1" x14ac:dyDescent="0.25">
      <c r="A79" s="40"/>
      <c r="B79" s="70"/>
      <c r="G79" s="72"/>
      <c r="H79" s="43"/>
      <c r="I79" s="72"/>
      <c r="J79" s="43"/>
      <c r="K79" s="72"/>
      <c r="L79" s="43"/>
      <c r="M79" s="72"/>
      <c r="N79" s="39"/>
      <c r="O79" s="45"/>
      <c r="Q79" s="45"/>
    </row>
    <row r="80" spans="1:17" ht="24" customHeight="1" x14ac:dyDescent="0.25">
      <c r="A80" s="49" t="s">
        <v>75</v>
      </c>
      <c r="B80" s="50"/>
      <c r="F80" s="42" t="s">
        <v>19</v>
      </c>
      <c r="G80" s="98">
        <f>SUM(G38:G79)</f>
        <v>94579</v>
      </c>
      <c r="H80" s="42" t="s">
        <v>19</v>
      </c>
      <c r="I80" s="98">
        <f>SUM(I38:I79)</f>
        <v>82052</v>
      </c>
      <c r="J80" s="42" t="s">
        <v>19</v>
      </c>
      <c r="K80" s="98">
        <f>SUM(K38:K79)</f>
        <v>211325</v>
      </c>
      <c r="L80" s="42" t="s">
        <v>19</v>
      </c>
      <c r="M80" s="98">
        <f>SUM(M38:M79)</f>
        <v>211325</v>
      </c>
      <c r="N80" s="42" t="s">
        <v>19</v>
      </c>
      <c r="O80" s="98">
        <f>SUM(O38:O79)</f>
        <v>211325</v>
      </c>
      <c r="P80" s="42" t="s">
        <v>19</v>
      </c>
      <c r="Q80" s="98">
        <f>SUM(Q38:Q79)</f>
        <v>211325</v>
      </c>
    </row>
    <row r="81" spans="1:17" ht="24" customHeight="1" thickBot="1" x14ac:dyDescent="0.3">
      <c r="A81" s="99" t="s">
        <v>76</v>
      </c>
      <c r="F81" s="42" t="s">
        <v>19</v>
      </c>
      <c r="G81" s="109">
        <f>+G25+G80</f>
        <v>976298</v>
      </c>
      <c r="H81" s="42" t="s">
        <v>19</v>
      </c>
      <c r="I81" s="109">
        <f>+I25+I80</f>
        <v>983972</v>
      </c>
      <c r="J81" s="42" t="s">
        <v>19</v>
      </c>
      <c r="K81" s="109">
        <f>+K25+K80</f>
        <v>1159663</v>
      </c>
      <c r="L81" s="42" t="s">
        <v>19</v>
      </c>
      <c r="M81" s="109">
        <f>+M25+M80</f>
        <v>1159663</v>
      </c>
      <c r="N81" s="141" t="s">
        <v>320</v>
      </c>
      <c r="O81" s="109">
        <f>+O25+O80</f>
        <v>1159663</v>
      </c>
      <c r="P81" s="67" t="s">
        <v>19</v>
      </c>
      <c r="Q81" s="134">
        <f>+Q25+Q80</f>
        <v>1159663</v>
      </c>
    </row>
    <row r="82" spans="1:17" ht="15.75" hidden="1" thickTop="1" x14ac:dyDescent="0.25">
      <c r="A82" s="16"/>
      <c r="B82" s="17"/>
      <c r="C82" s="16"/>
      <c r="D82" s="16"/>
      <c r="E82" s="5"/>
      <c r="F82" s="6"/>
      <c r="G82" s="36"/>
      <c r="H82" s="6"/>
      <c r="I82" s="36"/>
      <c r="J82" s="6"/>
      <c r="K82" s="36"/>
      <c r="L82" s="6"/>
      <c r="M82" s="36"/>
      <c r="N82" s="53"/>
      <c r="O82" s="36"/>
      <c r="Q82" s="36"/>
    </row>
    <row r="83" spans="1:17" hidden="1" x14ac:dyDescent="0.25">
      <c r="A83" s="148" t="s">
        <v>616</v>
      </c>
      <c r="B83" s="149"/>
      <c r="C83" s="150"/>
      <c r="D83" s="150"/>
      <c r="E83" s="151"/>
      <c r="F83" s="152"/>
      <c r="G83" s="153">
        <f>ROUND(S83,0)</f>
        <v>0</v>
      </c>
      <c r="H83" s="152"/>
      <c r="I83" s="153">
        <f>ROUND(T83,0)</f>
        <v>0</v>
      </c>
      <c r="J83" s="6"/>
      <c r="K83" s="36"/>
      <c r="L83" s="6"/>
      <c r="M83" s="36"/>
      <c r="N83" s="53"/>
      <c r="O83" s="36"/>
      <c r="Q83" s="36"/>
    </row>
    <row r="84" spans="1:17" hidden="1" x14ac:dyDescent="0.25">
      <c r="A84" s="148" t="s">
        <v>617</v>
      </c>
      <c r="B84" s="93" t="s">
        <v>592</v>
      </c>
      <c r="C84" s="150">
        <v>571000</v>
      </c>
      <c r="D84" s="150"/>
      <c r="E84" s="151"/>
      <c r="F84" s="152"/>
      <c r="G84" s="34">
        <f t="shared" ref="G84:G85" si="10">ROUND(IFERROR(VLOOKUP(_xlfn.CONCAT($B84,$C84,$D84),$A$93:$C$9994,3,FALSE),0),0)</f>
        <v>23922</v>
      </c>
      <c r="H84" s="152"/>
      <c r="I84" s="34">
        <f t="shared" ref="I84:I85" si="11">ROUND(IFERROR(VLOOKUP(_xlfn.CONCAT($B84,$C84,$D84),$A$93:$C$9994,2,FALSE),0),0)</f>
        <v>25356</v>
      </c>
      <c r="J84" s="6"/>
      <c r="K84" s="36"/>
      <c r="L84" s="6"/>
      <c r="M84" s="36"/>
      <c r="N84" s="53"/>
      <c r="O84" s="36"/>
      <c r="Q84" s="36"/>
    </row>
    <row r="85" spans="1:17" hidden="1" x14ac:dyDescent="0.25">
      <c r="A85" s="148" t="s">
        <v>618</v>
      </c>
      <c r="B85" s="93" t="s">
        <v>592</v>
      </c>
      <c r="C85" s="150">
        <v>571200</v>
      </c>
      <c r="D85" s="150"/>
      <c r="E85" s="151"/>
      <c r="F85" s="152"/>
      <c r="G85" s="34">
        <f t="shared" si="10"/>
        <v>1761</v>
      </c>
      <c r="H85" s="152"/>
      <c r="I85" s="34">
        <f t="shared" si="11"/>
        <v>1097</v>
      </c>
      <c r="J85" s="6"/>
      <c r="K85" s="36"/>
      <c r="L85" s="6"/>
      <c r="M85" s="36"/>
      <c r="N85" s="53"/>
      <c r="O85" s="36"/>
      <c r="Q85" s="36"/>
    </row>
    <row r="86" spans="1:17" hidden="1" x14ac:dyDescent="0.25">
      <c r="A86" s="154" t="s">
        <v>75</v>
      </c>
      <c r="B86" s="155"/>
      <c r="C86" s="156"/>
      <c r="D86" s="156"/>
      <c r="E86" s="157"/>
      <c r="F86" s="158" t="s">
        <v>19</v>
      </c>
      <c r="G86" s="159">
        <f>G80+G83+G84+G85</f>
        <v>120262</v>
      </c>
      <c r="H86" s="160" t="s">
        <v>19</v>
      </c>
      <c r="I86" s="159">
        <f>I80+I83+I84+I85</f>
        <v>108505</v>
      </c>
      <c r="K86" s="44"/>
      <c r="M86" s="44"/>
      <c r="O86" s="44"/>
      <c r="Q86" s="44"/>
    </row>
    <row r="87" spans="1:17" hidden="1" x14ac:dyDescent="0.25">
      <c r="G87" s="161"/>
      <c r="I87" s="161"/>
    </row>
    <row r="88" spans="1:17" hidden="1" x14ac:dyDescent="0.25">
      <c r="A88" s="28" t="s">
        <v>77</v>
      </c>
      <c r="G88" s="76">
        <v>1001982</v>
      </c>
      <c r="I88" s="76">
        <v>1010427</v>
      </c>
      <c r="J88" s="6"/>
      <c r="K88" s="36"/>
      <c r="L88" s="6"/>
      <c r="M88" s="36"/>
      <c r="N88" s="53"/>
      <c r="O88" s="36"/>
      <c r="Q88" s="36"/>
    </row>
    <row r="89" spans="1:17" hidden="1" x14ac:dyDescent="0.25">
      <c r="A89" s="28" t="s">
        <v>78</v>
      </c>
      <c r="G89" s="44">
        <f>G81-G88</f>
        <v>-25684</v>
      </c>
      <c r="H89" s="43"/>
      <c r="I89" s="44">
        <f>I81-I88</f>
        <v>-26455</v>
      </c>
      <c r="J89" s="6"/>
      <c r="K89" s="36"/>
      <c r="L89" s="6"/>
      <c r="M89" s="36"/>
      <c r="N89" s="53"/>
      <c r="O89" s="36"/>
      <c r="Q89" s="36"/>
    </row>
    <row r="90" spans="1:17" hidden="1" x14ac:dyDescent="0.25">
      <c r="C90" s="16"/>
      <c r="D90" s="16"/>
      <c r="E90" s="5"/>
      <c r="F90" s="6"/>
      <c r="G90" s="36"/>
      <c r="H90" s="6"/>
      <c r="I90" s="36"/>
      <c r="J90" s="6"/>
      <c r="K90" s="36"/>
      <c r="L90" s="6"/>
      <c r="M90" s="36"/>
      <c r="N90" s="53"/>
      <c r="O90" s="36"/>
      <c r="Q90" s="36"/>
    </row>
    <row r="91" spans="1:17" hidden="1" x14ac:dyDescent="0.25">
      <c r="C91" s="16"/>
      <c r="D91" s="16"/>
      <c r="E91" s="5"/>
      <c r="F91" s="6"/>
      <c r="G91" s="36"/>
      <c r="H91" s="6"/>
      <c r="I91" s="162"/>
      <c r="J91" s="163"/>
      <c r="K91" s="162"/>
      <c r="L91" s="164"/>
      <c r="M91" s="162"/>
      <c r="N91" s="53"/>
      <c r="O91" s="162"/>
      <c r="Q91" s="162"/>
    </row>
    <row r="92" spans="1:17" hidden="1" x14ac:dyDescent="0.25">
      <c r="B92" s="29" t="s">
        <v>79</v>
      </c>
      <c r="C92" s="15" t="s">
        <v>80</v>
      </c>
      <c r="G92" s="77" t="s">
        <v>81</v>
      </c>
      <c r="I92" s="162"/>
      <c r="J92" s="163"/>
      <c r="K92" s="162"/>
      <c r="L92" s="164"/>
      <c r="M92" s="162"/>
      <c r="O92" s="162"/>
      <c r="Q92" s="162"/>
    </row>
    <row r="93" spans="1:17" hidden="1" x14ac:dyDescent="0.25">
      <c r="A93" s="15" t="s">
        <v>619</v>
      </c>
      <c r="B93" s="29">
        <v>0</v>
      </c>
      <c r="C93" s="15">
        <v>0</v>
      </c>
      <c r="G93" s="15" t="e">
        <f>VLOOKUP(A93,E:E,1,FALSE)</f>
        <v>#N/A</v>
      </c>
      <c r="K93" s="44"/>
      <c r="M93" s="44"/>
      <c r="O93" s="44"/>
      <c r="Q93" s="44"/>
    </row>
    <row r="94" spans="1:17" hidden="1" x14ac:dyDescent="0.25">
      <c r="A94" s="15" t="s">
        <v>620</v>
      </c>
      <c r="B94" s="29">
        <v>0</v>
      </c>
      <c r="C94" s="15">
        <v>0</v>
      </c>
      <c r="G94" s="15" t="e">
        <f t="shared" ref="G94:G149" si="12">VLOOKUP(A94,E:E,1,FALSE)</f>
        <v>#N/A</v>
      </c>
      <c r="I94" s="15"/>
    </row>
    <row r="95" spans="1:17" hidden="1" x14ac:dyDescent="0.25">
      <c r="A95" s="15" t="s">
        <v>621</v>
      </c>
      <c r="B95" s="29">
        <v>0</v>
      </c>
      <c r="C95" s="15">
        <v>0</v>
      </c>
      <c r="G95" s="15" t="e">
        <f t="shared" si="12"/>
        <v>#N/A</v>
      </c>
      <c r="I95" s="15"/>
    </row>
    <row r="96" spans="1:17" hidden="1" x14ac:dyDescent="0.25">
      <c r="A96" s="15" t="s">
        <v>622</v>
      </c>
      <c r="B96" s="29">
        <v>0</v>
      </c>
      <c r="C96" s="15">
        <v>0</v>
      </c>
      <c r="G96" s="15" t="e">
        <f t="shared" si="12"/>
        <v>#N/A</v>
      </c>
      <c r="I96" s="15"/>
    </row>
    <row r="97" spans="1:17" hidden="1" x14ac:dyDescent="0.25">
      <c r="A97" s="15" t="s">
        <v>623</v>
      </c>
      <c r="B97" s="29">
        <v>0</v>
      </c>
      <c r="C97" s="15">
        <v>0</v>
      </c>
      <c r="G97" s="15" t="e">
        <f t="shared" si="12"/>
        <v>#N/A</v>
      </c>
      <c r="M97" s="44"/>
      <c r="Q97" s="44"/>
    </row>
    <row r="98" spans="1:17" hidden="1" x14ac:dyDescent="0.25">
      <c r="A98" s="15" t="s">
        <v>624</v>
      </c>
      <c r="B98" s="29">
        <v>537521.22</v>
      </c>
      <c r="C98" s="15">
        <v>517029.52</v>
      </c>
      <c r="G98" s="15" t="str">
        <f t="shared" si="12"/>
        <v>00109200501201</v>
      </c>
    </row>
    <row r="99" spans="1:17" hidden="1" x14ac:dyDescent="0.25">
      <c r="A99" s="15" t="s">
        <v>625</v>
      </c>
      <c r="B99" s="29">
        <v>0</v>
      </c>
      <c r="C99" s="15">
        <v>72</v>
      </c>
      <c r="G99" s="15" t="str">
        <f t="shared" si="12"/>
        <v>00109200501290</v>
      </c>
    </row>
    <row r="100" spans="1:17" hidden="1" x14ac:dyDescent="0.25">
      <c r="A100" s="15" t="s">
        <v>626</v>
      </c>
      <c r="B100" s="29">
        <v>87506.49</v>
      </c>
      <c r="C100" s="15">
        <v>87053.119999999995</v>
      </c>
      <c r="G100" s="15" t="str">
        <f t="shared" si="12"/>
        <v>00109200501300</v>
      </c>
    </row>
    <row r="101" spans="1:17" hidden="1" x14ac:dyDescent="0.25">
      <c r="A101" s="15" t="s">
        <v>627</v>
      </c>
      <c r="B101" s="29">
        <v>51431.27</v>
      </c>
      <c r="C101" s="15">
        <v>45258.63</v>
      </c>
      <c r="G101" s="15" t="str">
        <f t="shared" si="12"/>
        <v>00109200501400</v>
      </c>
    </row>
    <row r="102" spans="1:17" hidden="1" x14ac:dyDescent="0.25">
      <c r="A102" s="15" t="s">
        <v>628</v>
      </c>
      <c r="B102" s="29">
        <v>0</v>
      </c>
      <c r="C102" s="15">
        <v>0</v>
      </c>
      <c r="G102" s="15" t="str">
        <f t="shared" si="12"/>
        <v>00109200501401</v>
      </c>
    </row>
    <row r="103" spans="1:17" hidden="1" x14ac:dyDescent="0.25">
      <c r="A103" s="15" t="s">
        <v>629</v>
      </c>
      <c r="B103" s="29">
        <v>8615.4699999999993</v>
      </c>
      <c r="C103" s="15">
        <v>13451.43</v>
      </c>
      <c r="G103" s="15" t="str">
        <f t="shared" si="12"/>
        <v>00109200501600</v>
      </c>
    </row>
    <row r="104" spans="1:17" hidden="1" x14ac:dyDescent="0.25">
      <c r="A104" s="15" t="s">
        <v>630</v>
      </c>
      <c r="B104" s="29">
        <v>0</v>
      </c>
      <c r="C104" s="15">
        <v>0</v>
      </c>
      <c r="G104" s="15" t="str">
        <f t="shared" si="12"/>
        <v>00109200501701</v>
      </c>
    </row>
    <row r="105" spans="1:17" hidden="1" x14ac:dyDescent="0.25">
      <c r="A105" s="15" t="s">
        <v>631</v>
      </c>
      <c r="B105" s="29">
        <v>1324.77</v>
      </c>
      <c r="C105" s="15">
        <v>1690.46</v>
      </c>
      <c r="G105" s="15" t="str">
        <f t="shared" si="12"/>
        <v>00109200501702</v>
      </c>
    </row>
    <row r="106" spans="1:17" hidden="1" x14ac:dyDescent="0.25">
      <c r="A106" s="15" t="s">
        <v>632</v>
      </c>
      <c r="B106" s="29">
        <v>0</v>
      </c>
      <c r="C106" s="15">
        <v>0</v>
      </c>
      <c r="G106" s="15" t="str">
        <f t="shared" si="12"/>
        <v>00109200501800</v>
      </c>
    </row>
    <row r="107" spans="1:17" hidden="1" x14ac:dyDescent="0.25">
      <c r="A107" s="15" t="s">
        <v>633</v>
      </c>
      <c r="B107" s="29">
        <v>52117.08</v>
      </c>
      <c r="C107" s="15">
        <v>50466.93</v>
      </c>
      <c r="G107" s="15" t="str">
        <f t="shared" si="12"/>
        <v>00109200502100</v>
      </c>
    </row>
    <row r="108" spans="1:17" hidden="1" x14ac:dyDescent="0.25">
      <c r="A108" s="15" t="s">
        <v>634</v>
      </c>
      <c r="B108" s="29">
        <v>54506.86</v>
      </c>
      <c r="C108" s="15">
        <v>55617.23</v>
      </c>
      <c r="G108" s="15" t="str">
        <f t="shared" si="12"/>
        <v>00109200502200</v>
      </c>
    </row>
    <row r="109" spans="1:17" hidden="1" x14ac:dyDescent="0.25">
      <c r="A109" s="15" t="s">
        <v>635</v>
      </c>
      <c r="B109" s="29">
        <v>107809.32</v>
      </c>
      <c r="C109" s="15">
        <v>110059.24</v>
      </c>
      <c r="G109" s="15" t="str">
        <f t="shared" si="12"/>
        <v>00109200502300</v>
      </c>
    </row>
    <row r="110" spans="1:17" hidden="1" x14ac:dyDescent="0.25">
      <c r="A110" s="15" t="s">
        <v>636</v>
      </c>
      <c r="B110" s="29">
        <v>1088.82</v>
      </c>
      <c r="C110" s="15">
        <v>1021.12</v>
      </c>
      <c r="G110" s="15" t="str">
        <f t="shared" si="12"/>
        <v>00109200502400</v>
      </c>
    </row>
    <row r="111" spans="1:17" hidden="1" x14ac:dyDescent="0.25">
      <c r="A111" s="15" t="s">
        <v>637</v>
      </c>
      <c r="B111" s="29">
        <v>10220</v>
      </c>
      <c r="C111" s="15">
        <v>7960.12</v>
      </c>
      <c r="G111" s="15" t="str">
        <f t="shared" si="12"/>
        <v>00109200503182</v>
      </c>
    </row>
    <row r="112" spans="1:17" hidden="1" x14ac:dyDescent="0.25">
      <c r="A112" s="15" t="s">
        <v>638</v>
      </c>
      <c r="B112" s="29">
        <v>0</v>
      </c>
      <c r="C112" s="15">
        <v>0</v>
      </c>
      <c r="G112" s="15" t="str">
        <f t="shared" si="12"/>
        <v>00109200503185</v>
      </c>
    </row>
    <row r="113" spans="1:7" hidden="1" x14ac:dyDescent="0.25">
      <c r="A113" s="15" t="s">
        <v>639</v>
      </c>
      <c r="B113" s="29">
        <v>0</v>
      </c>
      <c r="C113" s="15">
        <v>0</v>
      </c>
      <c r="G113" s="15" t="str">
        <f t="shared" si="12"/>
        <v>00109200503401</v>
      </c>
    </row>
    <row r="114" spans="1:7" hidden="1" x14ac:dyDescent="0.25">
      <c r="A114" s="15" t="s">
        <v>640</v>
      </c>
      <c r="B114" s="29">
        <v>2896.66</v>
      </c>
      <c r="C114" s="15">
        <v>2167.88</v>
      </c>
      <c r="G114" s="15" t="str">
        <f t="shared" si="12"/>
        <v>00109200503450</v>
      </c>
    </row>
    <row r="115" spans="1:7" hidden="1" x14ac:dyDescent="0.25">
      <c r="A115" s="15" t="s">
        <v>641</v>
      </c>
      <c r="B115" s="29">
        <v>0</v>
      </c>
      <c r="C115" s="15">
        <v>410</v>
      </c>
      <c r="G115" s="15" t="str">
        <f t="shared" si="12"/>
        <v>00109200503460</v>
      </c>
    </row>
    <row r="116" spans="1:7" hidden="1" x14ac:dyDescent="0.25">
      <c r="A116" s="15" t="s">
        <v>642</v>
      </c>
      <c r="B116" s="29">
        <v>300</v>
      </c>
      <c r="C116" s="15">
        <v>150</v>
      </c>
      <c r="G116" s="15" t="str">
        <f t="shared" si="12"/>
        <v>00109200503461</v>
      </c>
    </row>
    <row r="117" spans="1:7" hidden="1" x14ac:dyDescent="0.25">
      <c r="A117" s="15" t="s">
        <v>643</v>
      </c>
      <c r="B117" s="29">
        <v>0</v>
      </c>
      <c r="C117" s="15">
        <v>0</v>
      </c>
      <c r="G117" s="15" t="str">
        <f t="shared" si="12"/>
        <v>00109200503499</v>
      </c>
    </row>
    <row r="118" spans="1:7" hidden="1" x14ac:dyDescent="0.25">
      <c r="A118" s="15" t="s">
        <v>644</v>
      </c>
      <c r="B118" s="29">
        <v>0</v>
      </c>
      <c r="C118" s="15">
        <v>0</v>
      </c>
      <c r="G118" s="15" t="e">
        <f t="shared" si="12"/>
        <v>#N/A</v>
      </c>
    </row>
    <row r="119" spans="1:7" hidden="1" x14ac:dyDescent="0.25">
      <c r="A119" s="15" t="s">
        <v>645</v>
      </c>
      <c r="B119" s="29">
        <v>0</v>
      </c>
      <c r="C119" s="15">
        <v>0</v>
      </c>
      <c r="G119" s="15" t="e">
        <f t="shared" si="12"/>
        <v>#N/A</v>
      </c>
    </row>
    <row r="120" spans="1:7" hidden="1" x14ac:dyDescent="0.25">
      <c r="A120" s="15" t="s">
        <v>646</v>
      </c>
      <c r="B120" s="29">
        <v>1360</v>
      </c>
      <c r="C120" s="15">
        <v>454</v>
      </c>
      <c r="G120" s="15" t="str">
        <f t="shared" si="12"/>
        <v>00109200504060</v>
      </c>
    </row>
    <row r="121" spans="1:7" hidden="1" x14ac:dyDescent="0.25">
      <c r="A121" s="15" t="s">
        <v>647</v>
      </c>
      <c r="B121" s="29">
        <v>0</v>
      </c>
      <c r="C121" s="15">
        <v>0</v>
      </c>
      <c r="G121" s="15" t="str">
        <f t="shared" si="12"/>
        <v>00109200504070</v>
      </c>
    </row>
    <row r="122" spans="1:7" hidden="1" x14ac:dyDescent="0.25">
      <c r="A122" s="15" t="s">
        <v>648</v>
      </c>
      <c r="B122" s="29">
        <v>0</v>
      </c>
      <c r="C122" s="15">
        <v>0</v>
      </c>
      <c r="G122" s="15" t="str">
        <f t="shared" si="12"/>
        <v>00109200504430</v>
      </c>
    </row>
    <row r="123" spans="1:7" hidden="1" x14ac:dyDescent="0.25">
      <c r="A123" s="15" t="s">
        <v>649</v>
      </c>
      <c r="B123" s="29">
        <v>0</v>
      </c>
      <c r="C123" s="15">
        <v>-772.53</v>
      </c>
      <c r="G123" s="15" t="str">
        <f t="shared" si="12"/>
        <v>00109200504450</v>
      </c>
    </row>
    <row r="124" spans="1:7" hidden="1" x14ac:dyDescent="0.25">
      <c r="A124" s="15" t="s">
        <v>650</v>
      </c>
      <c r="B124" s="29">
        <v>11526.84</v>
      </c>
      <c r="C124" s="15">
        <v>8978.52</v>
      </c>
      <c r="G124" s="15" t="str">
        <f t="shared" si="12"/>
        <v>00109200504601</v>
      </c>
    </row>
    <row r="125" spans="1:7" hidden="1" x14ac:dyDescent="0.25">
      <c r="A125" s="15" t="s">
        <v>651</v>
      </c>
      <c r="B125" s="29">
        <v>8837.2000000000007</v>
      </c>
      <c r="C125" s="15">
        <v>3116.84</v>
      </c>
      <c r="G125" s="15" t="str">
        <f t="shared" si="12"/>
        <v>00109200504620</v>
      </c>
    </row>
    <row r="126" spans="1:7" hidden="1" x14ac:dyDescent="0.25">
      <c r="A126" s="15" t="s">
        <v>652</v>
      </c>
      <c r="B126" s="29">
        <v>1250</v>
      </c>
      <c r="C126" s="15">
        <v>0</v>
      </c>
      <c r="G126" s="15" t="str">
        <f t="shared" si="12"/>
        <v>00109200504675</v>
      </c>
    </row>
    <row r="127" spans="1:7" hidden="1" x14ac:dyDescent="0.25">
      <c r="A127" s="15" t="s">
        <v>653</v>
      </c>
      <c r="B127" s="29">
        <v>17897.27</v>
      </c>
      <c r="C127" s="15">
        <v>36679.68</v>
      </c>
      <c r="G127" s="15" t="str">
        <f t="shared" si="12"/>
        <v>00109200504683</v>
      </c>
    </row>
    <row r="128" spans="1:7" hidden="1" x14ac:dyDescent="0.25">
      <c r="A128" s="15" t="s">
        <v>654</v>
      </c>
      <c r="B128" s="29">
        <v>0</v>
      </c>
      <c r="C128" s="15">
        <v>2040.82</v>
      </c>
      <c r="G128" s="15" t="str">
        <f t="shared" si="12"/>
        <v>00109200504699</v>
      </c>
    </row>
    <row r="129" spans="1:7" hidden="1" x14ac:dyDescent="0.25">
      <c r="A129" s="15" t="s">
        <v>655</v>
      </c>
      <c r="B129" s="29">
        <v>0</v>
      </c>
      <c r="C129" s="15">
        <v>0</v>
      </c>
      <c r="G129" s="15" t="str">
        <f t="shared" si="12"/>
        <v>00109200504871</v>
      </c>
    </row>
    <row r="130" spans="1:7" hidden="1" x14ac:dyDescent="0.25">
      <c r="A130" s="15" t="s">
        <v>656</v>
      </c>
      <c r="B130" s="29">
        <v>0</v>
      </c>
      <c r="C130" s="15">
        <v>0</v>
      </c>
      <c r="G130" s="15" t="str">
        <f t="shared" si="12"/>
        <v>00109200505101</v>
      </c>
    </row>
    <row r="131" spans="1:7" hidden="1" x14ac:dyDescent="0.25">
      <c r="A131" s="15" t="s">
        <v>657</v>
      </c>
      <c r="B131" s="29">
        <v>15472.57</v>
      </c>
      <c r="C131" s="15">
        <v>16578.18</v>
      </c>
      <c r="G131" s="15" t="str">
        <f t="shared" si="12"/>
        <v>00109200505201</v>
      </c>
    </row>
    <row r="132" spans="1:7" hidden="1" x14ac:dyDescent="0.25">
      <c r="A132" s="15" t="s">
        <v>658</v>
      </c>
      <c r="B132" s="29">
        <v>0</v>
      </c>
      <c r="C132" s="15">
        <v>0</v>
      </c>
      <c r="G132" s="15" t="e">
        <f t="shared" si="12"/>
        <v>#N/A</v>
      </c>
    </row>
    <row r="133" spans="1:7" hidden="1" x14ac:dyDescent="0.25">
      <c r="A133" s="15" t="s">
        <v>659</v>
      </c>
      <c r="B133" s="29">
        <v>0</v>
      </c>
      <c r="C133" s="15">
        <v>0</v>
      </c>
      <c r="G133" s="15" t="str">
        <f t="shared" si="12"/>
        <v>00109200505401</v>
      </c>
    </row>
    <row r="134" spans="1:7" hidden="1" x14ac:dyDescent="0.25">
      <c r="A134" s="15" t="s">
        <v>660</v>
      </c>
      <c r="B134" s="29">
        <v>0</v>
      </c>
      <c r="C134" s="15">
        <v>0</v>
      </c>
      <c r="G134" s="15" t="e">
        <f t="shared" si="12"/>
        <v>#N/A</v>
      </c>
    </row>
    <row r="135" spans="1:7" hidden="1" x14ac:dyDescent="0.25">
      <c r="A135" s="15" t="s">
        <v>661</v>
      </c>
      <c r="B135" s="29">
        <v>7116.37</v>
      </c>
      <c r="C135" s="15">
        <v>6672.23</v>
      </c>
      <c r="G135" s="15" t="str">
        <f t="shared" si="12"/>
        <v>00109200505505</v>
      </c>
    </row>
    <row r="136" spans="1:7" hidden="1" x14ac:dyDescent="0.25">
      <c r="A136" s="15" t="s">
        <v>662</v>
      </c>
      <c r="B136" s="29">
        <v>2045.64</v>
      </c>
      <c r="C136" s="15">
        <v>2430.5500000000002</v>
      </c>
      <c r="G136" s="15" t="str">
        <f t="shared" si="12"/>
        <v>00109200505532</v>
      </c>
    </row>
    <row r="137" spans="1:7" hidden="1" x14ac:dyDescent="0.25">
      <c r="A137" s="15" t="s">
        <v>663</v>
      </c>
      <c r="B137" s="29">
        <v>0</v>
      </c>
      <c r="C137" s="15">
        <v>838.36</v>
      </c>
      <c r="G137" s="15" t="str">
        <f t="shared" si="12"/>
        <v>00109200505540</v>
      </c>
    </row>
    <row r="138" spans="1:7" hidden="1" x14ac:dyDescent="0.25">
      <c r="A138" s="15" t="s">
        <v>664</v>
      </c>
      <c r="B138" s="29">
        <v>2169.35</v>
      </c>
      <c r="C138" s="15">
        <v>2818.39</v>
      </c>
      <c r="G138" s="15" t="str">
        <f t="shared" si="12"/>
        <v>00109200505550</v>
      </c>
    </row>
    <row r="139" spans="1:7" hidden="1" x14ac:dyDescent="0.25">
      <c r="A139" s="15" t="s">
        <v>665</v>
      </c>
      <c r="B139" s="29">
        <v>608.99</v>
      </c>
      <c r="C139" s="15">
        <v>304.49</v>
      </c>
      <c r="G139" s="15" t="str">
        <f t="shared" si="12"/>
        <v>00109200505601</v>
      </c>
    </row>
    <row r="140" spans="1:7" hidden="1" x14ac:dyDescent="0.25">
      <c r="A140" s="15" t="s">
        <v>666</v>
      </c>
      <c r="B140" s="29">
        <v>0</v>
      </c>
      <c r="C140" s="15">
        <v>2018.41</v>
      </c>
      <c r="G140" s="15" t="str">
        <f t="shared" si="12"/>
        <v>00109200505701</v>
      </c>
    </row>
    <row r="141" spans="1:7" hidden="1" x14ac:dyDescent="0.25">
      <c r="A141" s="15" t="s">
        <v>667</v>
      </c>
      <c r="B141" s="29">
        <v>0</v>
      </c>
      <c r="C141" s="15">
        <v>0</v>
      </c>
      <c r="G141" s="15" t="str">
        <f t="shared" si="12"/>
        <v>00109200505710</v>
      </c>
    </row>
    <row r="142" spans="1:7" hidden="1" x14ac:dyDescent="0.25">
      <c r="A142" s="15" t="s">
        <v>668</v>
      </c>
      <c r="B142" s="29">
        <v>0</v>
      </c>
      <c r="C142" s="15">
        <v>0</v>
      </c>
      <c r="G142" s="15" t="e">
        <f t="shared" si="12"/>
        <v>#N/A</v>
      </c>
    </row>
    <row r="143" spans="1:7" hidden="1" x14ac:dyDescent="0.25">
      <c r="A143" s="15" t="s">
        <v>669</v>
      </c>
      <c r="B143" s="29">
        <v>0</v>
      </c>
      <c r="C143" s="15">
        <v>1733.82</v>
      </c>
      <c r="G143" s="15" t="str">
        <f t="shared" si="12"/>
        <v>00109200505750</v>
      </c>
    </row>
    <row r="144" spans="1:7" hidden="1" x14ac:dyDescent="0.25">
      <c r="A144" s="15" t="s">
        <v>670</v>
      </c>
      <c r="B144" s="29">
        <v>350.94</v>
      </c>
      <c r="C144" s="15">
        <v>0</v>
      </c>
      <c r="G144" s="15" t="str">
        <f t="shared" si="12"/>
        <v>00109200505801</v>
      </c>
    </row>
    <row r="145" spans="1:7" hidden="1" x14ac:dyDescent="0.25">
      <c r="A145" s="15" t="s">
        <v>671</v>
      </c>
      <c r="B145" s="29">
        <v>0</v>
      </c>
      <c r="C145" s="15">
        <v>0</v>
      </c>
      <c r="G145" s="15" t="e">
        <f t="shared" si="12"/>
        <v>#N/A</v>
      </c>
    </row>
    <row r="146" spans="1:7" hidden="1" x14ac:dyDescent="0.25">
      <c r="A146" s="15" t="s">
        <v>672</v>
      </c>
      <c r="B146" s="29">
        <v>0</v>
      </c>
      <c r="C146" s="15">
        <v>0</v>
      </c>
      <c r="G146" s="15" t="e">
        <f t="shared" si="12"/>
        <v>#N/A</v>
      </c>
    </row>
    <row r="147" spans="1:7" hidden="1" x14ac:dyDescent="0.25">
      <c r="A147" s="15" t="s">
        <v>673</v>
      </c>
      <c r="B147" s="29">
        <v>25356.13</v>
      </c>
      <c r="C147" s="15">
        <v>23922.05</v>
      </c>
      <c r="G147" s="15" t="e">
        <f t="shared" si="12"/>
        <v>#N/A</v>
      </c>
    </row>
    <row r="148" spans="1:7" hidden="1" x14ac:dyDescent="0.25">
      <c r="A148" s="15" t="s">
        <v>674</v>
      </c>
      <c r="B148" s="29">
        <v>1097.3900000000001</v>
      </c>
      <c r="C148" s="15">
        <v>1760.95</v>
      </c>
      <c r="G148" s="15" t="e">
        <f t="shared" si="12"/>
        <v>#N/A</v>
      </c>
    </row>
    <row r="149" spans="1:7" hidden="1" x14ac:dyDescent="0.25">
      <c r="A149" s="15" t="s">
        <v>675</v>
      </c>
      <c r="B149" s="29">
        <v>0</v>
      </c>
      <c r="C149" s="15">
        <v>0</v>
      </c>
      <c r="G149" s="15" t="e">
        <f t="shared" si="12"/>
        <v>#N/A</v>
      </c>
    </row>
    <row r="150" spans="1:7" hidden="1" x14ac:dyDescent="0.25"/>
    <row r="151" spans="1:7" ht="15.75" thickTop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orientation="portrait" useFirstPageNumber="1" r:id="rId1"/>
  <headerFooter alignWithMargins="0"/>
  <rowBreaks count="1" manualBreakCount="1">
    <brk id="3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3FC6-AF72-43CE-B64C-DD117C11EBFA}">
  <sheetPr>
    <tabColor rgb="FF9966FF"/>
    <pageSetUpPr autoPageBreaks="0"/>
  </sheetPr>
  <dimension ref="A1:U116"/>
  <sheetViews>
    <sheetView showGridLines="0" view="pageBreakPreview" zoomScaleNormal="100" zoomScaleSheetLayoutView="100" workbookViewId="0">
      <selection activeCell="M17" activeCellId="1" sqref="K17 M17"/>
    </sheetView>
  </sheetViews>
  <sheetFormatPr defaultColWidth="9.140625" defaultRowHeight="12" x14ac:dyDescent="0.2"/>
  <cols>
    <col min="1" max="1" width="30.140625" style="15" customWidth="1"/>
    <col min="2" max="2" width="6.140625" style="15" customWidth="1"/>
    <col min="3" max="3" width="5.28515625" style="15" customWidth="1"/>
    <col min="4" max="4" width="1.7109375" style="42" customWidth="1"/>
    <col min="5" max="5" width="9.28515625" style="15" customWidth="1"/>
    <col min="6" max="6" width="1.7109375" style="42" customWidth="1"/>
    <col min="7" max="7" width="9.28515625" style="15" customWidth="1"/>
    <col min="8" max="8" width="1.7109375" style="42" customWidth="1"/>
    <col min="9" max="9" width="9.28515625" style="15" customWidth="1"/>
    <col min="10" max="10" width="1.7109375" style="42" customWidth="1"/>
    <col min="11" max="11" width="9.28515625" style="15" customWidth="1"/>
    <col min="12" max="12" width="1.7109375" style="42" customWidth="1"/>
    <col min="13" max="13" width="9.28515625" style="15" customWidth="1"/>
    <col min="14" max="15" width="9.140625" style="15" customWidth="1"/>
    <col min="16" max="17" width="9.140625" style="15"/>
    <col min="18" max="18" width="9.5703125" style="15" bestFit="1" customWidth="1"/>
    <col min="19" max="16384" width="9.140625" style="15"/>
  </cols>
  <sheetData>
    <row r="1" spans="1:21" x14ac:dyDescent="0.2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21" x14ac:dyDescent="0.2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1" ht="14.25" x14ac:dyDescent="0.2">
      <c r="A3" s="8"/>
      <c r="B3" s="8"/>
      <c r="C3" s="8"/>
      <c r="E3" s="8"/>
      <c r="G3" s="8"/>
      <c r="I3" s="8"/>
      <c r="K3" s="8"/>
      <c r="M3" s="8"/>
      <c r="R3" s="166" t="s">
        <v>676</v>
      </c>
    </row>
    <row r="4" spans="1:21" ht="15.75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21" ht="15.75" x14ac:dyDescent="0.25">
      <c r="A5" s="83" t="s">
        <v>677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</row>
    <row r="6" spans="1:21" x14ac:dyDescent="0.2">
      <c r="A6" s="115"/>
      <c r="B6" s="115"/>
      <c r="C6" s="115"/>
      <c r="D6" s="110"/>
      <c r="E6" s="115"/>
      <c r="F6" s="110"/>
      <c r="G6" s="115"/>
      <c r="H6" s="110"/>
      <c r="I6" s="115"/>
      <c r="J6" s="110"/>
      <c r="K6" s="115"/>
      <c r="L6" s="110"/>
      <c r="M6" s="115"/>
    </row>
    <row r="8" spans="1:21" x14ac:dyDescent="0.2">
      <c r="B8" s="21" t="s">
        <v>678</v>
      </c>
      <c r="C8" s="24" t="s">
        <v>10</v>
      </c>
      <c r="E8" s="24">
        <f>' 914 Westmonte'!G9</f>
        <v>2024</v>
      </c>
      <c r="G8" s="24">
        <f>' 914 Westmonte'!I9</f>
        <v>2025</v>
      </c>
      <c r="I8" s="167">
        <f>' 914 Westmonte'!K9</f>
        <v>2026</v>
      </c>
      <c r="J8" s="167"/>
      <c r="K8" s="167"/>
      <c r="M8" s="168">
        <f>' 914 Westmonte'!M8</f>
        <v>2027</v>
      </c>
      <c r="O8" s="24">
        <f>E8</f>
        <v>2024</v>
      </c>
      <c r="P8" s="24">
        <f>G8</f>
        <v>2025</v>
      </c>
      <c r="R8" s="24" t="s">
        <v>11</v>
      </c>
      <c r="S8" s="24" t="s">
        <v>679</v>
      </c>
    </row>
    <row r="9" spans="1:21" x14ac:dyDescent="0.2">
      <c r="B9" s="26" t="s">
        <v>680</v>
      </c>
      <c r="C9" s="27" t="s">
        <v>680</v>
      </c>
      <c r="E9" s="27" t="s">
        <v>11</v>
      </c>
      <c r="G9" s="27" t="s">
        <v>11</v>
      </c>
      <c r="I9" s="27" t="s">
        <v>12</v>
      </c>
      <c r="K9" s="169" t="s">
        <v>681</v>
      </c>
      <c r="M9" s="170" t="s">
        <v>12</v>
      </c>
      <c r="O9" s="27" t="s">
        <v>11</v>
      </c>
      <c r="P9" s="27" t="s">
        <v>11</v>
      </c>
      <c r="R9" s="171">
        <v>45770</v>
      </c>
      <c r="S9" s="27" t="s">
        <v>682</v>
      </c>
      <c r="T9" s="27" t="s">
        <v>683</v>
      </c>
    </row>
    <row r="10" spans="1:21" ht="15" customHeight="1" x14ac:dyDescent="0.2">
      <c r="A10" s="99" t="s">
        <v>684</v>
      </c>
      <c r="B10" s="99"/>
      <c r="C10" s="99"/>
    </row>
    <row r="11" spans="1:21" ht="15" customHeight="1" x14ac:dyDescent="0.2">
      <c r="A11" s="172" t="s">
        <v>685</v>
      </c>
      <c r="B11" s="173">
        <v>324610</v>
      </c>
      <c r="C11" s="172"/>
      <c r="D11" s="42" t="s">
        <v>19</v>
      </c>
      <c r="E11" s="126">
        <f>ROUND(O11,0)</f>
        <v>1349</v>
      </c>
      <c r="F11" s="42" t="s">
        <v>19</v>
      </c>
      <c r="G11" s="126">
        <f>ROUND(P11,0)</f>
        <v>1686</v>
      </c>
      <c r="H11" s="42" t="s">
        <v>19</v>
      </c>
      <c r="I11" s="126">
        <v>0</v>
      </c>
      <c r="J11" s="42" t="s">
        <v>19</v>
      </c>
      <c r="K11" s="45">
        <f>ROUND(T11,0)</f>
        <v>1349</v>
      </c>
      <c r="L11" s="42" t="s">
        <v>19</v>
      </c>
      <c r="M11" s="45">
        <v>0</v>
      </c>
      <c r="O11" s="126">
        <v>1348.76</v>
      </c>
      <c r="P11" s="126">
        <v>1685.95</v>
      </c>
      <c r="R11" s="174">
        <v>1348.76</v>
      </c>
      <c r="S11" s="174">
        <v>0</v>
      </c>
      <c r="T11" s="174">
        <f>+R11+S11</f>
        <v>1348.76</v>
      </c>
    </row>
    <row r="12" spans="1:21" ht="15" customHeight="1" x14ac:dyDescent="0.2">
      <c r="A12" s="172" t="s">
        <v>686</v>
      </c>
      <c r="B12" s="173">
        <v>324620</v>
      </c>
      <c r="C12" s="172"/>
      <c r="E12" s="126">
        <f>ROUND(O12,0)</f>
        <v>143</v>
      </c>
      <c r="G12" s="126">
        <f>ROUND(P12,0)</f>
        <v>1110</v>
      </c>
      <c r="I12" s="126">
        <v>0</v>
      </c>
      <c r="K12" s="45">
        <v>179</v>
      </c>
      <c r="M12" s="45">
        <v>0</v>
      </c>
      <c r="O12" s="126">
        <v>142.93</v>
      </c>
      <c r="P12" s="126">
        <v>1109.6400000000001</v>
      </c>
      <c r="R12" s="174">
        <v>0</v>
      </c>
      <c r="S12" s="174"/>
      <c r="T12" s="174">
        <f>+R12+S12</f>
        <v>0</v>
      </c>
    </row>
    <row r="13" spans="1:21" ht="15" customHeight="1" x14ac:dyDescent="0.2">
      <c r="A13" s="172" t="s">
        <v>687</v>
      </c>
      <c r="B13" s="173">
        <v>361100</v>
      </c>
      <c r="C13" s="172"/>
      <c r="E13" s="126">
        <f>ROUND(O13,0)</f>
        <v>30776</v>
      </c>
      <c r="G13" s="126">
        <f>ROUND(P13,0)</f>
        <v>18135</v>
      </c>
      <c r="I13" s="126">
        <v>0</v>
      </c>
      <c r="K13" s="45">
        <v>2825</v>
      </c>
      <c r="M13" s="45">
        <v>0</v>
      </c>
      <c r="O13" s="126">
        <v>30776.33</v>
      </c>
      <c r="P13" s="126">
        <v>18134.88</v>
      </c>
    </row>
    <row r="14" spans="1:21" ht="24.95" customHeight="1" x14ac:dyDescent="0.2">
      <c r="A14" s="49" t="s">
        <v>688</v>
      </c>
      <c r="B14" s="49"/>
      <c r="C14" s="49"/>
      <c r="D14" s="42" t="s">
        <v>19</v>
      </c>
      <c r="E14" s="142">
        <f>SUM(E11:E13)</f>
        <v>32268</v>
      </c>
      <c r="F14" s="42" t="s">
        <v>19</v>
      </c>
      <c r="G14" s="142">
        <f>SUM(G11:G13)</f>
        <v>20931</v>
      </c>
      <c r="H14" s="42" t="s">
        <v>19</v>
      </c>
      <c r="I14" s="142">
        <f>SUM(I11:I13)</f>
        <v>0</v>
      </c>
      <c r="J14" s="42" t="s">
        <v>19</v>
      </c>
      <c r="K14" s="142">
        <f>SUM(K11:K13)</f>
        <v>4353</v>
      </c>
      <c r="L14" s="42" t="s">
        <v>19</v>
      </c>
      <c r="M14" s="142">
        <f>SUM(M11:M13)</f>
        <v>0</v>
      </c>
      <c r="O14" s="142">
        <f>SUM(O11:O13)</f>
        <v>32268.02</v>
      </c>
      <c r="P14" s="142">
        <f>SUM(P11:P13)</f>
        <v>20930.47</v>
      </c>
      <c r="R14" s="126">
        <v>0</v>
      </c>
      <c r="S14" s="126">
        <f>(R14/6)*6</f>
        <v>0</v>
      </c>
      <c r="T14" s="126">
        <f>+R14+S14</f>
        <v>0</v>
      </c>
      <c r="U14" s="15" t="s">
        <v>689</v>
      </c>
    </row>
    <row r="15" spans="1:21" ht="15" customHeight="1" x14ac:dyDescent="0.2">
      <c r="A15" s="99"/>
      <c r="B15" s="99"/>
      <c r="C15" s="99"/>
      <c r="E15" s="126"/>
      <c r="G15" s="126"/>
      <c r="I15" s="126"/>
      <c r="K15" s="45"/>
      <c r="M15" s="126"/>
      <c r="O15" s="126"/>
      <c r="P15" s="126"/>
      <c r="R15" s="126">
        <v>0</v>
      </c>
      <c r="S15" s="126">
        <f t="shared" ref="S15:S16" si="0">(R15/6)*6</f>
        <v>0</v>
      </c>
      <c r="T15" s="126">
        <f>+R15+S15</f>
        <v>0</v>
      </c>
      <c r="U15" s="15" t="s">
        <v>690</v>
      </c>
    </row>
    <row r="16" spans="1:21" ht="15" customHeight="1" x14ac:dyDescent="0.2">
      <c r="A16" s="99" t="s">
        <v>691</v>
      </c>
      <c r="B16" s="99"/>
      <c r="C16" s="99"/>
      <c r="E16" s="126"/>
      <c r="G16" s="126"/>
      <c r="I16" s="126"/>
      <c r="K16" s="126"/>
      <c r="M16" s="126"/>
      <c r="O16" s="126"/>
      <c r="P16" s="126"/>
      <c r="R16" s="84">
        <v>0</v>
      </c>
      <c r="S16" s="127">
        <f t="shared" si="0"/>
        <v>0</v>
      </c>
      <c r="T16" s="127">
        <f>+R16+S16</f>
        <v>0</v>
      </c>
      <c r="U16" s="15" t="s">
        <v>692</v>
      </c>
    </row>
    <row r="17" spans="1:20" ht="15" customHeight="1" x14ac:dyDescent="0.2">
      <c r="A17" s="175" t="s">
        <v>693</v>
      </c>
      <c r="B17" s="173">
        <v>563320</v>
      </c>
      <c r="C17" s="95">
        <v>23040</v>
      </c>
      <c r="D17" s="42" t="s">
        <v>19</v>
      </c>
      <c r="E17" s="126">
        <f>ROUND(O17,0)</f>
        <v>0</v>
      </c>
      <c r="F17" s="42" t="s">
        <v>19</v>
      </c>
      <c r="G17" s="126">
        <f>ROUND(P17,0)</f>
        <v>0</v>
      </c>
      <c r="H17" s="42" t="s">
        <v>19</v>
      </c>
      <c r="I17" s="45">
        <f>150000-25107</f>
        <v>124893</v>
      </c>
      <c r="J17" s="42" t="s">
        <v>19</v>
      </c>
      <c r="K17" s="234">
        <f>150000-25107</f>
        <v>124893</v>
      </c>
      <c r="L17" s="42" t="s">
        <v>19</v>
      </c>
      <c r="M17" s="234">
        <f>150000-25107</f>
        <v>124893</v>
      </c>
      <c r="O17" s="126">
        <v>0</v>
      </c>
      <c r="P17" s="126">
        <v>0</v>
      </c>
      <c r="R17" s="44">
        <f>SUM(R14:R16)</f>
        <v>0</v>
      </c>
      <c r="S17" s="44">
        <f>SUM(S14:S16)</f>
        <v>0</v>
      </c>
      <c r="T17" s="44">
        <f>SUM(T14:T16)</f>
        <v>0</v>
      </c>
    </row>
    <row r="18" spans="1:20" ht="15" customHeight="1" x14ac:dyDescent="0.2">
      <c r="A18" s="175"/>
      <c r="B18" s="173"/>
      <c r="C18" s="95"/>
      <c r="E18" s="126"/>
      <c r="G18" s="126"/>
      <c r="I18" s="126"/>
      <c r="K18" s="126"/>
      <c r="M18" s="126"/>
      <c r="O18" s="126"/>
      <c r="P18" s="126"/>
      <c r="R18" s="44"/>
      <c r="S18" s="44"/>
      <c r="T18" s="44"/>
    </row>
    <row r="19" spans="1:20" ht="24.95" customHeight="1" x14ac:dyDescent="0.2">
      <c r="A19" s="102" t="s">
        <v>694</v>
      </c>
      <c r="B19" s="42"/>
      <c r="C19" s="102"/>
      <c r="D19" s="42" t="s">
        <v>19</v>
      </c>
      <c r="E19" s="142">
        <f>SUM(E17:E18)</f>
        <v>0</v>
      </c>
      <c r="F19" s="42" t="s">
        <v>19</v>
      </c>
      <c r="G19" s="142">
        <f>SUM(G17:G18)</f>
        <v>0</v>
      </c>
      <c r="H19" s="42" t="s">
        <v>19</v>
      </c>
      <c r="I19" s="142">
        <f>SUM(I17:I18)</f>
        <v>124893</v>
      </c>
      <c r="J19" s="42" t="s">
        <v>19</v>
      </c>
      <c r="K19" s="142">
        <f>SUM(K17:K18)</f>
        <v>124893</v>
      </c>
      <c r="L19" s="42" t="s">
        <v>19</v>
      </c>
      <c r="M19" s="142">
        <f>SUM(M17:M18)</f>
        <v>124893</v>
      </c>
      <c r="O19" s="142">
        <f>SUM(O17:O18)</f>
        <v>0</v>
      </c>
      <c r="P19" s="142">
        <f>SUM(P17:P18)</f>
        <v>0</v>
      </c>
      <c r="T19" s="174"/>
    </row>
    <row r="20" spans="1:20" ht="15" customHeight="1" x14ac:dyDescent="0.2">
      <c r="A20" s="99"/>
      <c r="B20" s="99"/>
      <c r="C20" s="99"/>
      <c r="E20" s="145"/>
      <c r="G20" s="145"/>
      <c r="I20" s="145"/>
      <c r="K20" s="145"/>
      <c r="M20" s="145"/>
      <c r="O20" s="145"/>
      <c r="P20" s="145"/>
    </row>
    <row r="21" spans="1:20" ht="15" customHeight="1" x14ac:dyDescent="0.2">
      <c r="A21" s="176" t="s">
        <v>695</v>
      </c>
      <c r="B21" s="176"/>
      <c r="C21" s="176"/>
      <c r="D21" s="42" t="s">
        <v>19</v>
      </c>
      <c r="E21" s="177">
        <f>+E14-E19</f>
        <v>32268</v>
      </c>
      <c r="F21" s="42" t="s">
        <v>19</v>
      </c>
      <c r="G21" s="177">
        <f>+G14-G19</f>
        <v>20931</v>
      </c>
      <c r="H21" s="42" t="s">
        <v>19</v>
      </c>
      <c r="I21" s="177">
        <f>+I14-I19</f>
        <v>-124893</v>
      </c>
      <c r="J21" s="42" t="s">
        <v>19</v>
      </c>
      <c r="K21" s="177">
        <f>+K14-K19</f>
        <v>-120540</v>
      </c>
      <c r="L21" s="42" t="s">
        <v>19</v>
      </c>
      <c r="M21" s="177">
        <f>+M14-M19</f>
        <v>-124893</v>
      </c>
      <c r="O21" s="177">
        <f>+O14-O19</f>
        <v>32268.02</v>
      </c>
      <c r="P21" s="177">
        <f>+P14-P19</f>
        <v>20930.47</v>
      </c>
    </row>
    <row r="22" spans="1:20" ht="15" customHeight="1" x14ac:dyDescent="0.2">
      <c r="A22" s="178"/>
      <c r="B22" s="178"/>
      <c r="C22" s="178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O22" s="177"/>
      <c r="P22" s="177"/>
    </row>
    <row r="23" spans="1:20" ht="15" customHeight="1" x14ac:dyDescent="0.2">
      <c r="A23" s="176" t="s">
        <v>696</v>
      </c>
      <c r="B23" s="176"/>
      <c r="C23" s="176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O23" s="177"/>
      <c r="P23" s="177"/>
    </row>
    <row r="24" spans="1:20" ht="15" customHeight="1" x14ac:dyDescent="0.2">
      <c r="A24" s="179" t="s">
        <v>697</v>
      </c>
      <c r="B24" s="179"/>
      <c r="C24" s="179"/>
      <c r="D24" s="177"/>
      <c r="E24" s="180">
        <f>ROUND(O24,0)</f>
        <v>418991</v>
      </c>
      <c r="F24" s="177"/>
      <c r="G24" s="180">
        <f>+E26</f>
        <v>451259</v>
      </c>
      <c r="H24" s="177"/>
      <c r="I24" s="180">
        <f>+G26</f>
        <v>472190</v>
      </c>
      <c r="J24" s="177"/>
      <c r="K24" s="180">
        <f>+I24</f>
        <v>472190</v>
      </c>
      <c r="L24" s="177"/>
      <c r="M24" s="180">
        <f>+K26</f>
        <v>351650</v>
      </c>
      <c r="O24" s="180">
        <v>418991</v>
      </c>
      <c r="P24" s="180">
        <f>+N26</f>
        <v>0</v>
      </c>
    </row>
    <row r="25" spans="1:20" ht="15" customHeight="1" x14ac:dyDescent="0.2">
      <c r="A25" s="179"/>
      <c r="B25" s="179"/>
      <c r="C25" s="179"/>
      <c r="D25" s="177"/>
      <c r="E25" s="181"/>
      <c r="F25" s="177"/>
      <c r="G25" s="181"/>
      <c r="H25" s="177"/>
      <c r="I25" s="181"/>
      <c r="J25" s="177"/>
      <c r="K25" s="181"/>
      <c r="L25" s="177"/>
      <c r="M25" s="181"/>
      <c r="O25" s="181"/>
      <c r="P25" s="181"/>
    </row>
    <row r="26" spans="1:20" ht="24.95" customHeight="1" thickBot="1" x14ac:dyDescent="0.25">
      <c r="A26" s="179" t="s">
        <v>698</v>
      </c>
      <c r="B26" s="179"/>
      <c r="C26" s="179"/>
      <c r="D26" s="42" t="s">
        <v>19</v>
      </c>
      <c r="E26" s="182">
        <f>SUM(E21:E25)</f>
        <v>451259</v>
      </c>
      <c r="F26" s="42" t="s">
        <v>19</v>
      </c>
      <c r="G26" s="182">
        <f t="shared" ref="G26:P26" si="1">SUM(G21:G25)</f>
        <v>472190</v>
      </c>
      <c r="H26" s="42" t="s">
        <v>19</v>
      </c>
      <c r="I26" s="182">
        <f t="shared" si="1"/>
        <v>347297</v>
      </c>
      <c r="J26" s="42" t="s">
        <v>19</v>
      </c>
      <c r="K26" s="182">
        <f t="shared" si="1"/>
        <v>351650</v>
      </c>
      <c r="L26" s="42" t="s">
        <v>19</v>
      </c>
      <c r="M26" s="182">
        <f>SUM(M21:M25)</f>
        <v>226757</v>
      </c>
      <c r="N26" s="182">
        <f t="shared" si="1"/>
        <v>0</v>
      </c>
      <c r="O26" s="182">
        <f t="shared" si="1"/>
        <v>451259.02</v>
      </c>
      <c r="P26" s="182">
        <f t="shared" si="1"/>
        <v>20930.47</v>
      </c>
    </row>
    <row r="27" spans="1:20" ht="15" customHeight="1" thickTop="1" x14ac:dyDescent="0.2">
      <c r="E27" s="144"/>
      <c r="F27" s="140"/>
      <c r="G27" s="144"/>
      <c r="H27" s="140"/>
      <c r="I27" s="144"/>
      <c r="J27" s="140"/>
      <c r="K27" s="144"/>
      <c r="L27" s="140"/>
      <c r="M27" s="144"/>
    </row>
    <row r="28" spans="1:20" x14ac:dyDescent="0.2">
      <c r="E28" s="145"/>
      <c r="G28" s="145"/>
      <c r="J28" s="144"/>
      <c r="K28" s="145"/>
      <c r="L28" s="144"/>
      <c r="M28" s="145">
        <v>0</v>
      </c>
    </row>
    <row r="29" spans="1:20" x14ac:dyDescent="0.2">
      <c r="A29" s="28" t="s">
        <v>77</v>
      </c>
      <c r="E29" s="76">
        <v>0</v>
      </c>
      <c r="G29" s="76">
        <v>0</v>
      </c>
      <c r="I29" s="145"/>
      <c r="J29" s="144"/>
      <c r="K29" s="145"/>
      <c r="L29" s="144"/>
      <c r="M29" s="145"/>
    </row>
    <row r="30" spans="1:20" x14ac:dyDescent="0.2">
      <c r="A30" s="28" t="s">
        <v>78</v>
      </c>
      <c r="E30" s="44">
        <f>E19-E29</f>
        <v>0</v>
      </c>
      <c r="F30" s="43"/>
      <c r="G30" s="44">
        <f>G19-G29</f>
        <v>0</v>
      </c>
      <c r="I30" s="145"/>
      <c r="J30" s="144"/>
      <c r="K30" s="145"/>
      <c r="L30" s="144"/>
      <c r="M30" s="145"/>
    </row>
    <row r="31" spans="1:20" x14ac:dyDescent="0.2">
      <c r="E31" s="183"/>
      <c r="G31" s="183"/>
      <c r="I31" s="145"/>
      <c r="K31" s="183"/>
      <c r="M31" s="183"/>
    </row>
    <row r="32" spans="1:20" x14ac:dyDescent="0.2">
      <c r="E32" s="183"/>
      <c r="G32" s="183"/>
      <c r="I32" s="183"/>
      <c r="K32" s="183"/>
      <c r="M32" s="183"/>
    </row>
    <row r="34" spans="1:13" x14ac:dyDescent="0.2">
      <c r="E34" s="183"/>
      <c r="G34" s="183"/>
      <c r="I34" s="145"/>
      <c r="J34" s="144"/>
      <c r="K34" s="145"/>
      <c r="L34" s="144"/>
      <c r="M34" s="145"/>
    </row>
    <row r="35" spans="1:13" x14ac:dyDescent="0.2">
      <c r="E35" s="183"/>
      <c r="G35" s="183"/>
      <c r="I35" s="145"/>
      <c r="J35" s="144"/>
      <c r="K35" s="145"/>
      <c r="L35" s="144"/>
      <c r="M35" s="145"/>
    </row>
    <row r="36" spans="1:13" x14ac:dyDescent="0.2">
      <c r="E36" s="183"/>
      <c r="G36" s="183"/>
      <c r="I36" s="145"/>
      <c r="J36" s="144"/>
      <c r="K36" s="145"/>
      <c r="L36" s="144"/>
      <c r="M36" s="145"/>
    </row>
    <row r="37" spans="1:13" x14ac:dyDescent="0.2">
      <c r="E37" s="183"/>
      <c r="G37" s="183"/>
      <c r="I37" s="145"/>
      <c r="J37" s="144"/>
      <c r="K37" s="145"/>
      <c r="L37" s="144"/>
      <c r="M37" s="145"/>
    </row>
    <row r="38" spans="1:13" x14ac:dyDescent="0.2">
      <c r="E38" s="183"/>
      <c r="G38" s="183"/>
      <c r="I38" s="145"/>
      <c r="J38" s="144"/>
      <c r="K38" s="145"/>
      <c r="L38" s="144"/>
      <c r="M38" s="145"/>
    </row>
    <row r="39" spans="1:13" x14ac:dyDescent="0.2">
      <c r="E39" s="183"/>
      <c r="G39" s="183"/>
      <c r="I39" s="145"/>
      <c r="J39" s="144"/>
      <c r="K39" s="145"/>
      <c r="L39" s="144"/>
      <c r="M39" s="145"/>
    </row>
    <row r="40" spans="1:13" x14ac:dyDescent="0.2">
      <c r="E40" s="183"/>
      <c r="G40" s="183"/>
      <c r="I40" s="183"/>
      <c r="K40" s="183"/>
      <c r="M40" s="183"/>
    </row>
    <row r="41" spans="1:13" x14ac:dyDescent="0.2">
      <c r="E41" s="183"/>
      <c r="G41" s="183"/>
      <c r="I41" s="183"/>
      <c r="K41" s="183"/>
      <c r="M41" s="183"/>
    </row>
    <row r="42" spans="1:13" x14ac:dyDescent="0.2">
      <c r="E42" s="145"/>
      <c r="G42" s="145"/>
      <c r="I42" s="145"/>
      <c r="K42" s="145"/>
      <c r="M42" s="145"/>
    </row>
    <row r="43" spans="1:13" x14ac:dyDescent="0.2">
      <c r="E43" s="145"/>
      <c r="G43" s="145"/>
      <c r="I43" s="145"/>
      <c r="K43" s="145"/>
      <c r="M43" s="145"/>
    </row>
    <row r="44" spans="1:13" x14ac:dyDescent="0.2">
      <c r="E44" s="145"/>
      <c r="F44" s="144"/>
      <c r="G44" s="145"/>
      <c r="H44" s="144"/>
      <c r="I44" s="145"/>
      <c r="J44" s="144"/>
      <c r="K44" s="145"/>
      <c r="L44" s="144"/>
      <c r="M44" s="145"/>
    </row>
    <row r="45" spans="1:13" x14ac:dyDescent="0.2">
      <c r="E45" s="145"/>
      <c r="F45" s="144"/>
      <c r="G45" s="145"/>
      <c r="H45" s="144"/>
      <c r="I45" s="145"/>
      <c r="J45" s="144"/>
      <c r="K45" s="145"/>
      <c r="L45" s="144"/>
      <c r="M45" s="145"/>
    </row>
    <row r="46" spans="1:13" x14ac:dyDescent="0.2">
      <c r="E46" s="145"/>
      <c r="F46" s="144"/>
      <c r="G46" s="145"/>
      <c r="H46" s="144"/>
      <c r="I46" s="145"/>
      <c r="J46" s="144"/>
      <c r="K46" s="145"/>
      <c r="L46" s="144"/>
      <c r="M46" s="145"/>
    </row>
    <row r="47" spans="1:13" x14ac:dyDescent="0.2">
      <c r="A47" s="99"/>
      <c r="B47" s="99"/>
      <c r="C47" s="99"/>
      <c r="E47" s="183"/>
      <c r="F47" s="144"/>
      <c r="G47" s="183"/>
      <c r="H47" s="144"/>
      <c r="I47" s="145"/>
      <c r="J47" s="144"/>
      <c r="K47" s="145"/>
      <c r="L47" s="144"/>
      <c r="M47" s="145"/>
    </row>
    <row r="48" spans="1:13" x14ac:dyDescent="0.2">
      <c r="A48" s="184"/>
      <c r="B48" s="184"/>
      <c r="C48" s="184"/>
      <c r="D48" s="144"/>
      <c r="E48" s="145"/>
      <c r="F48" s="144"/>
      <c r="G48" s="145"/>
      <c r="H48" s="144"/>
      <c r="I48" s="145"/>
      <c r="J48" s="144"/>
      <c r="K48" s="145"/>
      <c r="L48" s="144"/>
      <c r="M48" s="145"/>
    </row>
    <row r="49" spans="1:13" x14ac:dyDescent="0.2">
      <c r="A49" s="184"/>
      <c r="B49" s="184"/>
      <c r="C49" s="184"/>
      <c r="E49" s="183"/>
      <c r="F49" s="144"/>
      <c r="G49" s="183"/>
      <c r="H49" s="144"/>
      <c r="I49" s="145"/>
      <c r="J49" s="144"/>
      <c r="K49" s="145"/>
      <c r="L49" s="144"/>
      <c r="M49" s="145"/>
    </row>
    <row r="50" spans="1:13" x14ac:dyDescent="0.2">
      <c r="A50" s="184"/>
      <c r="B50" s="184"/>
      <c r="C50" s="184"/>
      <c r="E50" s="183"/>
      <c r="F50" s="144"/>
      <c r="G50" s="183"/>
      <c r="H50" s="144"/>
      <c r="I50" s="183"/>
      <c r="J50" s="144"/>
      <c r="K50" s="183"/>
      <c r="L50" s="144"/>
      <c r="M50" s="145"/>
    </row>
    <row r="51" spans="1:13" x14ac:dyDescent="0.2">
      <c r="A51" s="184"/>
      <c r="B51" s="184"/>
      <c r="C51" s="184"/>
      <c r="E51" s="185"/>
      <c r="F51" s="144"/>
      <c r="G51" s="185"/>
      <c r="H51" s="144"/>
      <c r="I51" s="183"/>
      <c r="J51" s="144"/>
      <c r="K51" s="183"/>
      <c r="L51" s="144"/>
      <c r="M51" s="145"/>
    </row>
    <row r="52" spans="1:13" x14ac:dyDescent="0.2">
      <c r="E52" s="145"/>
      <c r="F52" s="144"/>
      <c r="G52" s="145"/>
      <c r="H52" s="144"/>
      <c r="I52" s="145"/>
      <c r="J52" s="144"/>
      <c r="K52" s="145"/>
      <c r="L52" s="144"/>
      <c r="M52" s="145"/>
    </row>
    <row r="53" spans="1:13" x14ac:dyDescent="0.2">
      <c r="A53" s="99"/>
      <c r="B53" s="99"/>
      <c r="C53" s="99"/>
      <c r="E53" s="145"/>
      <c r="F53" s="144"/>
      <c r="G53" s="145"/>
      <c r="H53" s="144"/>
      <c r="I53" s="145"/>
      <c r="J53" s="144"/>
      <c r="K53" s="145"/>
      <c r="L53" s="144"/>
      <c r="M53" s="145"/>
    </row>
    <row r="54" spans="1:13" x14ac:dyDescent="0.2">
      <c r="E54" s="145"/>
      <c r="F54" s="144"/>
      <c r="G54" s="145"/>
      <c r="H54" s="144"/>
      <c r="I54" s="145"/>
      <c r="J54" s="144"/>
      <c r="K54" s="145"/>
      <c r="L54" s="144"/>
      <c r="M54" s="145"/>
    </row>
    <row r="55" spans="1:13" x14ac:dyDescent="0.2">
      <c r="A55" s="99"/>
      <c r="B55" s="99"/>
      <c r="C55" s="99"/>
      <c r="E55" s="183"/>
      <c r="F55" s="144"/>
      <c r="G55" s="183"/>
      <c r="H55" s="144"/>
      <c r="I55" s="183"/>
      <c r="J55" s="144"/>
      <c r="K55" s="183"/>
      <c r="L55" s="144"/>
      <c r="M55" s="145"/>
    </row>
    <row r="56" spans="1:13" x14ac:dyDescent="0.2">
      <c r="A56" s="184"/>
      <c r="B56" s="184"/>
      <c r="C56" s="184"/>
      <c r="E56" s="183"/>
      <c r="F56" s="144"/>
      <c r="G56" s="183"/>
      <c r="H56" s="144"/>
      <c r="I56" s="185"/>
      <c r="J56" s="144"/>
      <c r="K56" s="185"/>
      <c r="L56" s="144"/>
      <c r="M56" s="145"/>
    </row>
    <row r="57" spans="1:13" x14ac:dyDescent="0.2">
      <c r="E57" s="145"/>
      <c r="F57" s="144"/>
      <c r="G57" s="145"/>
      <c r="H57" s="144"/>
      <c r="I57" s="145"/>
      <c r="J57" s="144"/>
      <c r="K57" s="145"/>
      <c r="L57" s="144"/>
      <c r="M57" s="145"/>
    </row>
    <row r="58" spans="1:13" x14ac:dyDescent="0.2">
      <c r="A58" s="99"/>
      <c r="B58" s="99"/>
      <c r="C58" s="99"/>
      <c r="E58" s="183"/>
      <c r="F58" s="144"/>
      <c r="G58" s="183"/>
      <c r="H58" s="144"/>
      <c r="I58" s="183"/>
      <c r="J58" s="144"/>
      <c r="K58" s="183"/>
      <c r="L58" s="144"/>
      <c r="M58" s="145"/>
    </row>
    <row r="59" spans="1:13" x14ac:dyDescent="0.2">
      <c r="E59" s="145"/>
      <c r="F59" s="144"/>
      <c r="G59" s="145"/>
      <c r="H59" s="144"/>
      <c r="I59" s="145"/>
      <c r="J59" s="144"/>
      <c r="K59" s="145"/>
      <c r="L59" s="144"/>
      <c r="M59" s="145"/>
    </row>
    <row r="60" spans="1:13" x14ac:dyDescent="0.2">
      <c r="A60" s="99"/>
      <c r="B60" s="99"/>
      <c r="C60" s="99"/>
      <c r="E60" s="183"/>
      <c r="F60" s="144"/>
      <c r="G60" s="183"/>
      <c r="H60" s="144"/>
      <c r="I60" s="183"/>
      <c r="J60" s="144"/>
      <c r="K60" s="183"/>
      <c r="L60" s="144"/>
      <c r="M60" s="145"/>
    </row>
    <row r="61" spans="1:13" x14ac:dyDescent="0.2">
      <c r="A61" s="184"/>
      <c r="B61" s="184"/>
      <c r="C61" s="184"/>
      <c r="E61" s="145"/>
      <c r="F61" s="144"/>
      <c r="G61" s="145"/>
      <c r="H61" s="144"/>
      <c r="I61" s="183"/>
      <c r="J61" s="144"/>
      <c r="K61" s="183"/>
      <c r="L61" s="144"/>
      <c r="M61" s="145"/>
    </row>
    <row r="62" spans="1:13" x14ac:dyDescent="0.2">
      <c r="A62" s="184"/>
      <c r="B62" s="184"/>
      <c r="C62" s="184"/>
      <c r="E62" s="145"/>
      <c r="F62" s="144"/>
      <c r="G62" s="145"/>
      <c r="H62" s="144"/>
      <c r="I62" s="145"/>
      <c r="J62" s="144"/>
      <c r="K62" s="145"/>
      <c r="L62" s="144"/>
      <c r="M62" s="145"/>
    </row>
    <row r="63" spans="1:13" x14ac:dyDescent="0.2">
      <c r="A63" s="184"/>
      <c r="B63" s="184"/>
      <c r="C63" s="184"/>
      <c r="E63" s="145"/>
      <c r="F63" s="144"/>
      <c r="G63" s="145"/>
      <c r="H63" s="144"/>
      <c r="I63" s="145"/>
      <c r="J63" s="144"/>
      <c r="K63" s="145"/>
      <c r="L63" s="144"/>
      <c r="M63" s="145"/>
    </row>
    <row r="64" spans="1:13" x14ac:dyDescent="0.2">
      <c r="E64" s="145"/>
      <c r="F64" s="144"/>
      <c r="G64" s="145"/>
      <c r="H64" s="144"/>
      <c r="I64" s="145"/>
      <c r="J64" s="144"/>
      <c r="K64" s="145"/>
      <c r="L64" s="144"/>
      <c r="M64" s="145"/>
    </row>
    <row r="65" spans="1:13" x14ac:dyDescent="0.2">
      <c r="A65" s="99"/>
      <c r="B65" s="99"/>
      <c r="C65" s="99"/>
      <c r="E65" s="183"/>
      <c r="F65" s="144"/>
      <c r="G65" s="183"/>
      <c r="H65" s="144"/>
      <c r="I65" s="183"/>
      <c r="J65" s="144"/>
      <c r="K65" s="183"/>
      <c r="L65" s="144"/>
      <c r="M65" s="145"/>
    </row>
    <row r="66" spans="1:13" x14ac:dyDescent="0.2">
      <c r="A66" s="184"/>
      <c r="B66" s="184"/>
      <c r="C66" s="184"/>
      <c r="E66" s="145"/>
      <c r="F66" s="144"/>
      <c r="G66" s="145"/>
      <c r="H66" s="144"/>
      <c r="I66" s="183"/>
      <c r="J66" s="144"/>
      <c r="K66" s="183"/>
      <c r="L66" s="144"/>
      <c r="M66" s="145"/>
    </row>
    <row r="67" spans="1:13" x14ac:dyDescent="0.2">
      <c r="A67" s="184"/>
      <c r="B67" s="184"/>
      <c r="C67" s="184"/>
      <c r="E67" s="145"/>
      <c r="F67" s="144"/>
      <c r="G67" s="145"/>
      <c r="H67" s="144"/>
      <c r="I67" s="183"/>
      <c r="J67" s="144"/>
      <c r="K67" s="183"/>
      <c r="L67" s="144"/>
      <c r="M67" s="145"/>
    </row>
    <row r="68" spans="1:13" x14ac:dyDescent="0.2">
      <c r="E68" s="145"/>
      <c r="F68" s="144"/>
      <c r="G68" s="145"/>
      <c r="H68" s="144"/>
      <c r="I68" s="145"/>
      <c r="J68" s="144"/>
      <c r="K68" s="145"/>
      <c r="L68" s="144"/>
      <c r="M68" s="145"/>
    </row>
    <row r="69" spans="1:13" x14ac:dyDescent="0.2">
      <c r="A69" s="99"/>
      <c r="B69" s="99"/>
      <c r="C69" s="99"/>
      <c r="E69" s="183"/>
      <c r="F69" s="144"/>
      <c r="G69" s="183"/>
      <c r="H69" s="144"/>
      <c r="I69" s="183"/>
      <c r="J69" s="144"/>
      <c r="K69" s="183"/>
      <c r="L69" s="144"/>
      <c r="M69" s="145"/>
    </row>
    <row r="70" spans="1:13" x14ac:dyDescent="0.2">
      <c r="A70" s="184"/>
      <c r="B70" s="184"/>
      <c r="C70" s="184"/>
      <c r="E70" s="145"/>
      <c r="F70" s="144"/>
      <c r="G70" s="145"/>
      <c r="H70" s="144"/>
      <c r="I70" s="145"/>
      <c r="J70" s="144"/>
      <c r="K70" s="145"/>
      <c r="L70" s="144"/>
      <c r="M70" s="145"/>
    </row>
    <row r="71" spans="1:13" x14ac:dyDescent="0.2">
      <c r="E71" s="145"/>
      <c r="F71" s="144"/>
      <c r="G71" s="145"/>
      <c r="H71" s="144"/>
      <c r="I71" s="145"/>
      <c r="J71" s="144"/>
      <c r="K71" s="145"/>
      <c r="L71" s="144"/>
      <c r="M71" s="145"/>
    </row>
    <row r="72" spans="1:13" x14ac:dyDescent="0.2">
      <c r="A72" s="99"/>
      <c r="B72" s="99"/>
      <c r="C72" s="99"/>
      <c r="E72" s="183"/>
      <c r="F72" s="144"/>
      <c r="G72" s="183"/>
      <c r="H72" s="144"/>
      <c r="I72" s="183"/>
      <c r="J72" s="144"/>
      <c r="K72" s="183"/>
      <c r="L72" s="144"/>
      <c r="M72" s="145"/>
    </row>
    <row r="73" spans="1:13" x14ac:dyDescent="0.2">
      <c r="A73" s="186"/>
      <c r="B73" s="186"/>
      <c r="C73" s="186"/>
      <c r="E73" s="183"/>
      <c r="F73" s="144"/>
      <c r="G73" s="183"/>
      <c r="H73" s="144"/>
      <c r="I73" s="145"/>
      <c r="J73" s="144"/>
      <c r="K73" s="145"/>
      <c r="L73" s="144"/>
      <c r="M73" s="145"/>
    </row>
    <row r="74" spans="1:13" x14ac:dyDescent="0.2">
      <c r="A74" s="99"/>
      <c r="B74" s="99"/>
      <c r="C74" s="99"/>
      <c r="E74" s="185"/>
      <c r="F74" s="144"/>
      <c r="G74" s="185"/>
      <c r="H74" s="144"/>
      <c r="I74" s="183"/>
      <c r="J74" s="144"/>
      <c r="K74" s="183"/>
      <c r="L74" s="144"/>
      <c r="M74" s="145"/>
    </row>
    <row r="75" spans="1:13" x14ac:dyDescent="0.2">
      <c r="E75" s="145"/>
      <c r="F75" s="144"/>
      <c r="G75" s="145"/>
      <c r="H75" s="144"/>
      <c r="I75" s="145"/>
      <c r="J75" s="144"/>
      <c r="K75" s="145"/>
      <c r="L75" s="144"/>
      <c r="M75" s="145"/>
    </row>
    <row r="76" spans="1:13" x14ac:dyDescent="0.2">
      <c r="A76" s="99"/>
      <c r="B76" s="99"/>
      <c r="C76" s="99"/>
      <c r="E76" s="183"/>
      <c r="F76" s="144"/>
      <c r="G76" s="183"/>
      <c r="H76" s="144"/>
      <c r="I76" s="183"/>
      <c r="J76" s="144"/>
      <c r="K76" s="183"/>
      <c r="L76" s="144"/>
      <c r="M76" s="145"/>
    </row>
    <row r="77" spans="1:13" x14ac:dyDescent="0.2">
      <c r="E77" s="145"/>
      <c r="F77" s="144"/>
      <c r="G77" s="145"/>
      <c r="H77" s="144"/>
      <c r="I77" s="145"/>
      <c r="J77" s="144"/>
      <c r="K77" s="145"/>
      <c r="L77" s="144"/>
      <c r="M77" s="145"/>
    </row>
    <row r="78" spans="1:13" x14ac:dyDescent="0.2">
      <c r="A78" s="99"/>
      <c r="B78" s="99"/>
      <c r="C78" s="99"/>
      <c r="E78" s="183"/>
      <c r="F78" s="144"/>
      <c r="G78" s="183"/>
      <c r="H78" s="144"/>
      <c r="I78" s="145"/>
      <c r="J78" s="144"/>
      <c r="K78" s="145"/>
      <c r="L78" s="144"/>
      <c r="M78" s="145"/>
    </row>
    <row r="79" spans="1:13" x14ac:dyDescent="0.2">
      <c r="E79" s="145"/>
      <c r="F79" s="144"/>
      <c r="G79" s="145"/>
      <c r="H79" s="144"/>
      <c r="I79" s="145"/>
      <c r="J79" s="144"/>
      <c r="K79" s="145"/>
      <c r="L79" s="144"/>
      <c r="M79" s="145"/>
    </row>
    <row r="80" spans="1:13" x14ac:dyDescent="0.2">
      <c r="A80" s="99"/>
      <c r="B80" s="99"/>
      <c r="C80" s="99"/>
      <c r="E80" s="183"/>
      <c r="F80" s="144"/>
      <c r="G80" s="183"/>
      <c r="H80" s="144"/>
      <c r="I80" s="183"/>
      <c r="J80" s="144"/>
      <c r="K80" s="183"/>
      <c r="L80" s="144"/>
      <c r="M80" s="145"/>
    </row>
    <row r="81" spans="1:13" x14ac:dyDescent="0.2">
      <c r="A81" s="184"/>
      <c r="B81" s="184"/>
      <c r="C81" s="184"/>
      <c r="E81" s="145"/>
      <c r="F81" s="144"/>
      <c r="G81" s="145"/>
      <c r="H81" s="144"/>
      <c r="I81" s="183"/>
      <c r="J81" s="144"/>
      <c r="K81" s="183"/>
      <c r="L81" s="144"/>
      <c r="M81" s="145"/>
    </row>
    <row r="82" spans="1:13" x14ac:dyDescent="0.2">
      <c r="A82" s="184"/>
      <c r="B82" s="184"/>
      <c r="C82" s="184"/>
      <c r="E82" s="183"/>
      <c r="F82" s="144"/>
      <c r="G82" s="183"/>
      <c r="H82" s="144"/>
      <c r="I82" s="145"/>
      <c r="J82" s="144"/>
      <c r="K82" s="145"/>
      <c r="L82" s="144"/>
      <c r="M82" s="145"/>
    </row>
    <row r="83" spans="1:13" x14ac:dyDescent="0.2">
      <c r="E83" s="145"/>
      <c r="F83" s="144"/>
      <c r="G83" s="145"/>
      <c r="H83" s="144"/>
      <c r="I83" s="145"/>
      <c r="J83" s="144"/>
      <c r="K83" s="145"/>
      <c r="L83" s="144"/>
      <c r="M83" s="145"/>
    </row>
    <row r="84" spans="1:13" x14ac:dyDescent="0.2">
      <c r="A84" s="99"/>
      <c r="B84" s="99"/>
      <c r="C84" s="99"/>
      <c r="E84" s="145"/>
      <c r="F84" s="144"/>
      <c r="G84" s="145"/>
      <c r="H84" s="144"/>
      <c r="I84" s="183"/>
      <c r="J84" s="144"/>
      <c r="K84" s="183"/>
      <c r="L84" s="144"/>
      <c r="M84" s="145"/>
    </row>
    <row r="85" spans="1:13" x14ac:dyDescent="0.2">
      <c r="E85" s="145"/>
      <c r="F85" s="144"/>
      <c r="G85" s="145"/>
      <c r="H85" s="144"/>
      <c r="I85" s="145"/>
      <c r="J85" s="144"/>
      <c r="K85" s="145"/>
      <c r="L85" s="144"/>
      <c r="M85" s="145"/>
    </row>
    <row r="86" spans="1:13" x14ac:dyDescent="0.2">
      <c r="A86" s="99"/>
      <c r="B86" s="99"/>
      <c r="C86" s="99"/>
      <c r="E86" s="145"/>
      <c r="F86" s="144"/>
      <c r="G86" s="145"/>
      <c r="H86" s="144"/>
      <c r="I86" s="145"/>
      <c r="J86" s="144"/>
      <c r="K86" s="145"/>
      <c r="L86" s="144"/>
      <c r="M86" s="145"/>
    </row>
    <row r="87" spans="1:13" x14ac:dyDescent="0.2">
      <c r="E87" s="145"/>
      <c r="F87" s="144"/>
      <c r="G87" s="145"/>
      <c r="H87" s="144"/>
      <c r="I87" s="145"/>
      <c r="J87" s="144"/>
      <c r="K87" s="145"/>
      <c r="L87" s="144"/>
      <c r="M87" s="145"/>
    </row>
    <row r="88" spans="1:13" x14ac:dyDescent="0.2">
      <c r="E88" s="145"/>
      <c r="F88" s="144"/>
      <c r="G88" s="145"/>
      <c r="H88" s="144"/>
      <c r="I88" s="145"/>
      <c r="J88" s="144"/>
      <c r="K88" s="145"/>
      <c r="L88" s="144"/>
      <c r="M88" s="145"/>
    </row>
    <row r="89" spans="1:13" x14ac:dyDescent="0.2">
      <c r="E89" s="145"/>
      <c r="F89" s="144"/>
      <c r="G89" s="145"/>
      <c r="H89" s="144"/>
      <c r="I89" s="145"/>
      <c r="J89" s="144"/>
      <c r="K89" s="145"/>
      <c r="L89" s="144"/>
      <c r="M89" s="145"/>
    </row>
    <row r="90" spans="1:13" x14ac:dyDescent="0.2">
      <c r="A90" s="99"/>
      <c r="B90" s="99"/>
      <c r="C90" s="99"/>
    </row>
    <row r="91" spans="1:13" x14ac:dyDescent="0.2">
      <c r="A91" s="184"/>
      <c r="B91" s="184"/>
      <c r="C91" s="184"/>
      <c r="E91" s="183"/>
      <c r="F91" s="144"/>
      <c r="G91" s="183"/>
      <c r="H91" s="144"/>
      <c r="I91" s="183"/>
      <c r="J91" s="144"/>
      <c r="K91" s="183"/>
      <c r="L91" s="144"/>
      <c r="M91" s="145"/>
    </row>
    <row r="92" spans="1:13" x14ac:dyDescent="0.2">
      <c r="A92" s="184"/>
      <c r="B92" s="184"/>
      <c r="C92" s="184"/>
      <c r="E92" s="183"/>
      <c r="F92" s="144"/>
      <c r="G92" s="183"/>
      <c r="H92" s="144"/>
      <c r="I92" s="183"/>
      <c r="J92" s="144"/>
      <c r="K92" s="183"/>
      <c r="L92" s="144"/>
      <c r="M92" s="145"/>
    </row>
    <row r="93" spans="1:13" x14ac:dyDescent="0.2">
      <c r="A93" s="184"/>
      <c r="B93" s="184"/>
      <c r="C93" s="184"/>
      <c r="E93" s="183"/>
      <c r="F93" s="144"/>
      <c r="G93" s="183"/>
      <c r="H93" s="144"/>
      <c r="I93" s="183"/>
      <c r="J93" s="144"/>
      <c r="K93" s="183"/>
      <c r="L93" s="144"/>
      <c r="M93" s="145"/>
    </row>
    <row r="94" spans="1:13" x14ac:dyDescent="0.2">
      <c r="A94" s="184"/>
      <c r="B94" s="184"/>
      <c r="C94" s="184"/>
      <c r="E94" s="183"/>
      <c r="F94" s="144"/>
      <c r="G94" s="183"/>
      <c r="H94" s="144"/>
      <c r="I94" s="183"/>
      <c r="J94" s="144"/>
      <c r="K94" s="183"/>
      <c r="L94" s="144"/>
      <c r="M94" s="145"/>
    </row>
    <row r="95" spans="1:13" x14ac:dyDescent="0.2">
      <c r="A95" s="184"/>
      <c r="B95" s="184"/>
      <c r="C95" s="184"/>
      <c r="E95" s="183"/>
      <c r="F95" s="144"/>
      <c r="G95" s="183"/>
      <c r="H95" s="144"/>
      <c r="I95" s="183"/>
      <c r="J95" s="144"/>
      <c r="K95" s="183"/>
      <c r="L95" s="144"/>
      <c r="M95" s="145"/>
    </row>
    <row r="96" spans="1:13" x14ac:dyDescent="0.2">
      <c r="A96" s="184"/>
      <c r="B96" s="184"/>
      <c r="C96" s="184"/>
      <c r="E96" s="183"/>
      <c r="F96" s="144"/>
      <c r="G96" s="183"/>
      <c r="H96" s="144"/>
      <c r="I96" s="183"/>
      <c r="J96" s="144"/>
      <c r="K96" s="183"/>
      <c r="L96" s="144"/>
      <c r="M96" s="145"/>
    </row>
    <row r="97" spans="1:13" x14ac:dyDescent="0.2">
      <c r="A97" s="184"/>
      <c r="B97" s="184"/>
      <c r="C97" s="184"/>
      <c r="E97" s="183"/>
      <c r="F97" s="144"/>
      <c r="G97" s="183"/>
      <c r="H97" s="144"/>
      <c r="I97" s="183"/>
      <c r="J97" s="144"/>
      <c r="K97" s="183"/>
      <c r="L97" s="144"/>
      <c r="M97" s="145"/>
    </row>
    <row r="98" spans="1:13" x14ac:dyDescent="0.2">
      <c r="E98" s="183"/>
      <c r="F98" s="144"/>
      <c r="G98" s="183"/>
      <c r="H98" s="144"/>
      <c r="I98" s="183"/>
      <c r="J98" s="144"/>
      <c r="K98" s="183"/>
      <c r="L98" s="144"/>
      <c r="M98" s="145"/>
    </row>
    <row r="99" spans="1:13" x14ac:dyDescent="0.2">
      <c r="E99" s="183"/>
      <c r="F99" s="144"/>
      <c r="G99" s="183"/>
      <c r="H99" s="144"/>
      <c r="I99" s="183"/>
      <c r="J99" s="144"/>
      <c r="K99" s="183"/>
      <c r="L99" s="144"/>
      <c r="M99" s="145"/>
    </row>
    <row r="100" spans="1:13" x14ac:dyDescent="0.2">
      <c r="E100" s="183"/>
      <c r="F100" s="144"/>
      <c r="G100" s="183"/>
      <c r="H100" s="144"/>
      <c r="I100" s="183"/>
      <c r="J100" s="144"/>
      <c r="K100" s="183"/>
      <c r="L100" s="144"/>
      <c r="M100" s="145"/>
    </row>
    <row r="101" spans="1:13" x14ac:dyDescent="0.2">
      <c r="A101" s="99"/>
      <c r="B101" s="99"/>
      <c r="C101" s="99"/>
      <c r="E101" s="183"/>
      <c r="F101" s="144"/>
      <c r="G101" s="183"/>
      <c r="H101" s="144"/>
      <c r="I101" s="183"/>
      <c r="J101" s="144"/>
      <c r="K101" s="183"/>
      <c r="L101" s="144"/>
      <c r="M101" s="145"/>
    </row>
    <row r="102" spans="1:13" x14ac:dyDescent="0.2">
      <c r="A102" s="184"/>
      <c r="B102" s="184"/>
      <c r="C102" s="184"/>
      <c r="E102" s="183"/>
      <c r="F102" s="144"/>
      <c r="G102" s="183"/>
      <c r="H102" s="144"/>
      <c r="I102" s="183"/>
      <c r="J102" s="144"/>
      <c r="K102" s="183"/>
      <c r="L102" s="144"/>
      <c r="M102" s="145"/>
    </row>
    <row r="103" spans="1:13" x14ac:dyDescent="0.2">
      <c r="A103" s="184"/>
      <c r="B103" s="184"/>
      <c r="C103" s="184"/>
      <c r="E103" s="183"/>
      <c r="F103" s="144"/>
      <c r="G103" s="183"/>
      <c r="H103" s="144"/>
      <c r="I103" s="183"/>
      <c r="J103" s="144"/>
      <c r="K103" s="183"/>
      <c r="L103" s="144"/>
      <c r="M103" s="145"/>
    </row>
    <row r="104" spans="1:13" x14ac:dyDescent="0.2">
      <c r="A104" s="184"/>
      <c r="B104" s="184"/>
      <c r="C104" s="184"/>
      <c r="E104" s="183"/>
      <c r="F104" s="144"/>
      <c r="G104" s="183"/>
      <c r="H104" s="144"/>
      <c r="I104" s="183"/>
      <c r="J104" s="144"/>
      <c r="K104" s="183"/>
      <c r="L104" s="144"/>
      <c r="M104" s="145"/>
    </row>
    <row r="105" spans="1:13" x14ac:dyDescent="0.2">
      <c r="A105" s="184"/>
      <c r="B105" s="184"/>
      <c r="C105" s="184"/>
      <c r="E105" s="183"/>
      <c r="F105" s="144"/>
      <c r="G105" s="183"/>
      <c r="H105" s="144"/>
      <c r="I105" s="183"/>
      <c r="J105" s="144"/>
      <c r="K105" s="183"/>
      <c r="L105" s="144"/>
      <c r="M105" s="145"/>
    </row>
    <row r="106" spans="1:13" x14ac:dyDescent="0.2">
      <c r="A106" s="184"/>
      <c r="B106" s="184"/>
      <c r="C106" s="184"/>
      <c r="E106" s="183"/>
      <c r="F106" s="144"/>
      <c r="G106" s="183"/>
      <c r="H106" s="144"/>
      <c r="I106" s="183"/>
      <c r="J106" s="144"/>
      <c r="K106" s="183"/>
      <c r="L106" s="144"/>
      <c r="M106" s="145"/>
    </row>
    <row r="107" spans="1:13" x14ac:dyDescent="0.2">
      <c r="A107" s="184"/>
      <c r="B107" s="184"/>
      <c r="C107" s="184"/>
      <c r="E107" s="183"/>
      <c r="F107" s="144"/>
      <c r="G107" s="183"/>
      <c r="H107" s="144"/>
      <c r="I107" s="183"/>
      <c r="J107" s="144"/>
      <c r="K107" s="183"/>
      <c r="L107" s="144"/>
      <c r="M107" s="145"/>
    </row>
    <row r="108" spans="1:13" x14ac:dyDescent="0.2">
      <c r="A108" s="184"/>
      <c r="B108" s="184"/>
      <c r="C108" s="184"/>
      <c r="E108" s="183"/>
      <c r="F108" s="144"/>
      <c r="G108" s="183"/>
      <c r="H108" s="144"/>
      <c r="I108" s="183"/>
      <c r="J108" s="144"/>
      <c r="K108" s="183"/>
      <c r="L108" s="144"/>
      <c r="M108" s="145"/>
    </row>
    <row r="109" spans="1:13" x14ac:dyDescent="0.2">
      <c r="A109" s="184"/>
      <c r="B109" s="184"/>
      <c r="C109" s="184"/>
      <c r="E109" s="183"/>
      <c r="F109" s="144"/>
      <c r="G109" s="183"/>
      <c r="H109" s="144"/>
      <c r="I109" s="183"/>
      <c r="J109" s="144"/>
      <c r="K109" s="183"/>
      <c r="L109" s="144"/>
      <c r="M109" s="145"/>
    </row>
    <row r="110" spans="1:13" x14ac:dyDescent="0.2">
      <c r="E110" s="183"/>
      <c r="F110" s="144"/>
      <c r="G110" s="183"/>
      <c r="H110" s="144"/>
      <c r="I110" s="183"/>
      <c r="J110" s="144"/>
      <c r="K110" s="183"/>
      <c r="L110" s="144"/>
      <c r="M110" s="145"/>
    </row>
    <row r="111" spans="1:13" x14ac:dyDescent="0.2">
      <c r="A111" s="99"/>
      <c r="B111" s="99"/>
      <c r="C111" s="99"/>
      <c r="E111" s="183"/>
      <c r="F111" s="144"/>
      <c r="G111" s="183"/>
      <c r="H111" s="144"/>
      <c r="I111" s="183"/>
      <c r="J111" s="144"/>
      <c r="K111" s="183"/>
      <c r="L111" s="144"/>
      <c r="M111" s="145"/>
    </row>
    <row r="112" spans="1:13" x14ac:dyDescent="0.2">
      <c r="A112" s="184"/>
      <c r="B112" s="184"/>
      <c r="C112" s="184"/>
      <c r="E112" s="183"/>
      <c r="F112" s="144"/>
      <c r="G112" s="183"/>
      <c r="H112" s="144"/>
      <c r="I112" s="183"/>
      <c r="J112" s="144"/>
      <c r="K112" s="183"/>
      <c r="L112" s="144"/>
      <c r="M112" s="145"/>
    </row>
    <row r="113" spans="1:13" x14ac:dyDescent="0.2">
      <c r="E113" s="145"/>
      <c r="F113" s="144"/>
      <c r="G113" s="145"/>
      <c r="H113" s="144"/>
      <c r="I113" s="145"/>
      <c r="J113" s="144"/>
      <c r="K113" s="145"/>
      <c r="L113" s="144"/>
      <c r="M113" s="145"/>
    </row>
    <row r="114" spans="1:13" x14ac:dyDescent="0.2">
      <c r="A114" s="99"/>
      <c r="B114" s="99"/>
      <c r="C114" s="99"/>
      <c r="E114" s="145"/>
      <c r="G114" s="145"/>
      <c r="I114" s="145"/>
      <c r="K114" s="145"/>
      <c r="M114" s="145"/>
    </row>
    <row r="115" spans="1:13" x14ac:dyDescent="0.2">
      <c r="E115" s="145"/>
      <c r="F115" s="144"/>
      <c r="G115" s="145"/>
      <c r="H115" s="144"/>
      <c r="I115" s="145"/>
      <c r="J115" s="144"/>
      <c r="K115" s="145"/>
      <c r="L115" s="144"/>
      <c r="M115" s="145"/>
    </row>
    <row r="116" spans="1:13" x14ac:dyDescent="0.2">
      <c r="E116" s="145"/>
      <c r="F116" s="144"/>
      <c r="G116" s="145"/>
      <c r="H116" s="144"/>
      <c r="I116" s="145"/>
      <c r="J116" s="144"/>
      <c r="K116" s="145"/>
      <c r="L116" s="144"/>
      <c r="M116" s="145"/>
    </row>
  </sheetData>
  <mergeCells count="5">
    <mergeCell ref="A1:M1"/>
    <mergeCell ref="A2:M2"/>
    <mergeCell ref="A4:M4"/>
    <mergeCell ref="A5:M5"/>
    <mergeCell ref="I8:K8"/>
  </mergeCells>
  <printOptions horizontalCentered="1"/>
  <pageMargins left="0.75" right="0.5" top="0.5" bottom="0.5" header="0.5" footer="0.5"/>
  <pageSetup scale="95" firstPageNumber="5" fitToHeight="15" orientation="portrait" useFirstPageNumber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3D79-531C-4000-8EC8-702F5CF1D448}">
  <sheetPr>
    <tabColor rgb="FFDDDDFF"/>
  </sheetPr>
  <dimension ref="A1:W177"/>
  <sheetViews>
    <sheetView showGridLines="0" zoomScaleNormal="100" zoomScaleSheetLayoutView="100" workbookViewId="0">
      <pane ySplit="10" topLeftCell="A81" activePane="bottomLeft" state="frozen"/>
      <selection activeCell="R10" sqref="R10"/>
      <selection pane="bottomLeft" activeCell="M53" sqref="M53:M106"/>
    </sheetView>
  </sheetViews>
  <sheetFormatPr defaultColWidth="9.140625" defaultRowHeight="15" x14ac:dyDescent="0.25"/>
  <cols>
    <col min="1" max="1" width="35.28515625" customWidth="1"/>
    <col min="2" max="2" width="11" style="78" hidden="1" customWidth="1"/>
    <col min="3" max="4" width="6" customWidth="1"/>
    <col min="5" max="5" width="6" style="79" hidden="1" customWidth="1"/>
    <col min="6" max="6" width="1.7109375" style="66" customWidth="1"/>
    <col min="7" max="7" width="9.7109375" customWidth="1"/>
    <col min="8" max="8" width="1.7109375" style="66" customWidth="1"/>
    <col min="9" max="9" width="9.7109375" customWidth="1"/>
    <col min="10" max="10" width="1.7109375" style="66" customWidth="1"/>
    <col min="11" max="11" width="9.7109375" customWidth="1"/>
    <col min="12" max="12" width="1.7109375" style="66" customWidth="1"/>
    <col min="13" max="13" width="9.7109375" customWidth="1"/>
    <col min="14" max="14" width="1.7109375" hidden="1" customWidth="1"/>
    <col min="15" max="15" width="9.7109375" hidden="1" customWidth="1"/>
    <col min="16" max="16" width="1.7109375" hidden="1" customWidth="1"/>
    <col min="17" max="17" width="9.7109375" hidden="1" customWidth="1"/>
    <col min="18" max="18" width="26.7109375" customWidth="1"/>
    <col min="20" max="20" width="2.85546875" customWidth="1"/>
  </cols>
  <sheetData>
    <row r="1" spans="1:23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23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23" ht="13.15" customHeight="1" x14ac:dyDescent="0.25">
      <c r="A3" s="42"/>
      <c r="B3" s="187"/>
      <c r="C3" s="42"/>
      <c r="D3" s="42"/>
      <c r="E3" s="71"/>
      <c r="F3" s="42"/>
      <c r="G3" s="42"/>
      <c r="H3" s="42"/>
      <c r="I3" s="43"/>
      <c r="J3" s="42"/>
      <c r="K3" s="42"/>
      <c r="L3" s="42"/>
      <c r="M3" s="42"/>
      <c r="N3" s="42"/>
      <c r="O3" s="42"/>
      <c r="P3" s="2"/>
      <c r="Q3" s="42"/>
    </row>
    <row r="4" spans="1:23" ht="13.15" customHeight="1" x14ac:dyDescent="0.2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2"/>
      <c r="Q4" s="2"/>
    </row>
    <row r="5" spans="1:23" ht="13.15" customHeight="1" x14ac:dyDescent="0.25">
      <c r="A5" s="83" t="s">
        <v>699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2"/>
      <c r="Q5" s="2"/>
    </row>
    <row r="6" spans="1:23" ht="13.15" customHeight="1" x14ac:dyDescent="0.25">
      <c r="A6" s="83" t="s">
        <v>700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2"/>
      <c r="Q6" s="2"/>
    </row>
    <row r="7" spans="1:23" ht="13.15" customHeight="1" x14ac:dyDescent="0.25">
      <c r="A7" s="84"/>
      <c r="B7" s="85"/>
      <c r="C7" s="84"/>
      <c r="D7" s="84"/>
      <c r="E7" s="117"/>
      <c r="F7" s="110"/>
      <c r="G7" s="84"/>
      <c r="H7" s="110"/>
      <c r="I7" s="111"/>
      <c r="J7" s="110"/>
      <c r="K7" s="84"/>
      <c r="L7" s="110"/>
      <c r="M7" s="84"/>
      <c r="N7" s="15"/>
      <c r="O7" s="15"/>
      <c r="P7" s="2"/>
      <c r="Q7" s="84"/>
    </row>
    <row r="8" spans="1:23" ht="12" customHeight="1" x14ac:dyDescent="0.25">
      <c r="A8" s="15"/>
      <c r="B8" s="29"/>
      <c r="C8" s="15"/>
      <c r="D8" s="15"/>
      <c r="E8" s="71"/>
      <c r="F8" s="42"/>
      <c r="G8" s="15"/>
      <c r="H8" s="42"/>
      <c r="I8" s="44"/>
      <c r="J8" s="42"/>
      <c r="K8" s="18"/>
      <c r="L8" s="21"/>
      <c r="M8" s="22">
        <f>'920 Park Rangers'!M8</f>
        <v>2027</v>
      </c>
      <c r="N8" s="22"/>
      <c r="O8" s="22"/>
      <c r="P8" s="22"/>
      <c r="Q8" s="22"/>
    </row>
    <row r="9" spans="1:23" ht="12" customHeight="1" x14ac:dyDescent="0.25">
      <c r="A9" s="15"/>
      <c r="B9" s="29"/>
      <c r="C9" s="24"/>
      <c r="D9" s="24"/>
      <c r="E9" s="25"/>
      <c r="F9" s="42"/>
      <c r="G9" s="24">
        <f>'920 Park Rangers'!G9</f>
        <v>2024</v>
      </c>
      <c r="H9" s="42"/>
      <c r="I9" s="24">
        <f>'920 Park Rangers'!I9</f>
        <v>2025</v>
      </c>
      <c r="J9" s="42"/>
      <c r="K9" s="21">
        <f>'920 Park Rangers'!K9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23" ht="12" customHeight="1" x14ac:dyDescent="0.25">
      <c r="A10" s="15"/>
      <c r="B10" s="27" t="s">
        <v>8</v>
      </c>
      <c r="C10" s="27" t="s">
        <v>9</v>
      </c>
      <c r="D10" s="27" t="s">
        <v>10</v>
      </c>
      <c r="E10" s="25"/>
      <c r="F10" s="42"/>
      <c r="G10" s="27" t="s">
        <v>11</v>
      </c>
      <c r="H10" s="42"/>
      <c r="I10" s="27" t="s">
        <v>11</v>
      </c>
      <c r="J10" s="42"/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23" ht="13.5" customHeight="1" x14ac:dyDescent="0.25">
      <c r="A11" s="28" t="s">
        <v>16</v>
      </c>
      <c r="B11" s="29"/>
      <c r="C11" s="42"/>
      <c r="D11" s="42"/>
      <c r="E11" s="71"/>
      <c r="F11" s="42"/>
      <c r="G11" s="15"/>
      <c r="H11" s="42"/>
      <c r="I11" s="15"/>
      <c r="J11" s="42"/>
      <c r="K11" s="15"/>
      <c r="L11" s="42"/>
      <c r="M11" s="15"/>
      <c r="N11" s="15"/>
      <c r="O11" s="15"/>
      <c r="P11" s="2"/>
      <c r="Q11" s="15"/>
    </row>
    <row r="12" spans="1:23" ht="24.95" customHeight="1" x14ac:dyDescent="0.25">
      <c r="A12" s="92" t="s">
        <v>701</v>
      </c>
      <c r="B12" s="93" t="s">
        <v>702</v>
      </c>
      <c r="C12" s="69">
        <v>501201</v>
      </c>
      <c r="D12" s="69"/>
      <c r="E12" s="94" t="str">
        <f>_xlfn.CONCAT(B12,C12,D12)</f>
        <v>00109030501201</v>
      </c>
      <c r="F12" s="42" t="s">
        <v>19</v>
      </c>
      <c r="G12" s="34">
        <f t="shared" ref="G12:G24" si="0">ROUND(IFERROR(VLOOKUP(_xlfn.CONCAT($B12,$C12,$D12),$A$117:$C$9996,3,FALSE),0),0)</f>
        <v>1204143</v>
      </c>
      <c r="H12" s="42" t="s">
        <v>19</v>
      </c>
      <c r="I12" s="34">
        <f t="shared" ref="I12:I24" si="1">ROUND(IFERROR(VLOOKUP(_xlfn.CONCAT($B12,$C12,$D12),$A$117:$C$9996,2,FALSE),0),0)</f>
        <v>1184425</v>
      </c>
      <c r="J12" s="42" t="s">
        <v>19</v>
      </c>
      <c r="K12" s="72">
        <v>1293097.8136</v>
      </c>
      <c r="L12" s="42" t="s">
        <v>19</v>
      </c>
      <c r="M12" s="72">
        <f>'[1]Payroll Summary by Department'!C53-M13</f>
        <v>1293097.8136</v>
      </c>
      <c r="N12" s="141" t="s">
        <v>19</v>
      </c>
      <c r="O12" s="72">
        <f>'[1]Payroll Summary by Department'!C53-M13</f>
        <v>1293097.8136</v>
      </c>
      <c r="P12" s="141" t="s">
        <v>19</v>
      </c>
      <c r="Q12" s="72">
        <f>O12</f>
        <v>1293097.8136</v>
      </c>
    </row>
    <row r="13" spans="1:23" ht="24.95" customHeight="1" x14ac:dyDescent="0.25">
      <c r="A13" s="92" t="s">
        <v>703</v>
      </c>
      <c r="B13" s="93" t="s">
        <v>702</v>
      </c>
      <c r="C13" s="69">
        <v>501210</v>
      </c>
      <c r="D13" s="69"/>
      <c r="E13" s="94" t="str">
        <f t="shared" ref="E13:E78" si="2">_xlfn.CONCAT(B13,C13,D13)</f>
        <v>00109030501210</v>
      </c>
      <c r="F13" s="42"/>
      <c r="G13" s="34">
        <f t="shared" si="0"/>
        <v>16336</v>
      </c>
      <c r="H13" s="42"/>
      <c r="I13" s="34">
        <f t="shared" si="1"/>
        <v>16006</v>
      </c>
      <c r="J13" s="42"/>
      <c r="K13" s="72">
        <v>17479.186399999999</v>
      </c>
      <c r="L13" s="42"/>
      <c r="M13" s="72">
        <f>SUMIFS('[1]Input Master'!O21:O565,'[1]Input Master'!E21:E565,"00109030",'[1]Input Master'!L21:L565,"P1")</f>
        <v>17479.186399999999</v>
      </c>
      <c r="N13" s="141"/>
      <c r="O13" s="72">
        <f t="shared" ref="O13:O20" si="3">M13</f>
        <v>17479.186399999999</v>
      </c>
      <c r="P13" s="2"/>
      <c r="Q13" s="72">
        <f t="shared" ref="Q13:Q24" si="4">O13</f>
        <v>17479.186399999999</v>
      </c>
    </row>
    <row r="14" spans="1:23" ht="13.15" customHeight="1" x14ac:dyDescent="0.25">
      <c r="A14" s="40" t="s">
        <v>285</v>
      </c>
      <c r="B14" s="93" t="s">
        <v>702</v>
      </c>
      <c r="C14" s="42">
        <v>501290</v>
      </c>
      <c r="D14" s="42"/>
      <c r="E14" s="94" t="str">
        <f t="shared" si="2"/>
        <v>00109030501290</v>
      </c>
      <c r="F14" s="42"/>
      <c r="G14" s="34">
        <f t="shared" si="0"/>
        <v>0</v>
      </c>
      <c r="H14" s="43"/>
      <c r="I14" s="34">
        <f t="shared" si="1"/>
        <v>0</v>
      </c>
      <c r="J14" s="43">
        <f>+F14+H14</f>
        <v>0</v>
      </c>
      <c r="K14" s="45">
        <v>500</v>
      </c>
      <c r="L14" s="43"/>
      <c r="M14" s="45">
        <v>500</v>
      </c>
      <c r="N14" s="39"/>
      <c r="O14" s="72">
        <f t="shared" si="3"/>
        <v>500</v>
      </c>
      <c r="P14" s="2"/>
      <c r="Q14" s="72">
        <f t="shared" si="4"/>
        <v>500</v>
      </c>
    </row>
    <row r="15" spans="1:23" s="15" customFormat="1" ht="13.15" customHeight="1" x14ac:dyDescent="0.25">
      <c r="A15" s="40" t="s">
        <v>122</v>
      </c>
      <c r="B15" s="93" t="s">
        <v>702</v>
      </c>
      <c r="C15" s="42">
        <v>501300</v>
      </c>
      <c r="D15" s="42"/>
      <c r="E15" s="94" t="str">
        <f t="shared" si="2"/>
        <v>00109030501300</v>
      </c>
      <c r="F15" s="42"/>
      <c r="G15" s="34">
        <f t="shared" si="0"/>
        <v>30743</v>
      </c>
      <c r="H15" s="43"/>
      <c r="I15" s="34">
        <f t="shared" si="1"/>
        <v>15040</v>
      </c>
      <c r="J15" s="43"/>
      <c r="K15" s="45">
        <v>30000</v>
      </c>
      <c r="L15" s="43"/>
      <c r="M15" s="45">
        <v>30000</v>
      </c>
      <c r="N15" s="39"/>
      <c r="O15" s="72">
        <f t="shared" si="3"/>
        <v>30000</v>
      </c>
      <c r="Q15" s="72">
        <f t="shared" si="4"/>
        <v>30000</v>
      </c>
      <c r="R15"/>
      <c r="S15"/>
      <c r="T15"/>
      <c r="U15"/>
      <c r="V15"/>
      <c r="W15"/>
    </row>
    <row r="16" spans="1:23" ht="13.15" customHeight="1" x14ac:dyDescent="0.25">
      <c r="A16" s="40" t="s">
        <v>21</v>
      </c>
      <c r="B16" s="93" t="s">
        <v>702</v>
      </c>
      <c r="C16" s="69">
        <v>501400</v>
      </c>
      <c r="D16" s="69"/>
      <c r="E16" s="94" t="str">
        <f t="shared" si="2"/>
        <v>00109030501400</v>
      </c>
      <c r="F16" s="42"/>
      <c r="G16" s="34">
        <f t="shared" si="0"/>
        <v>31970</v>
      </c>
      <c r="H16" s="43"/>
      <c r="I16" s="34">
        <f t="shared" si="1"/>
        <v>65641</v>
      </c>
      <c r="J16" s="43"/>
      <c r="K16" s="45">
        <v>30000</v>
      </c>
      <c r="L16" s="43"/>
      <c r="M16" s="45">
        <v>30000</v>
      </c>
      <c r="N16" s="39"/>
      <c r="O16" s="72">
        <f t="shared" si="3"/>
        <v>30000</v>
      </c>
      <c r="P16" s="2"/>
      <c r="Q16" s="72">
        <f t="shared" si="4"/>
        <v>30000</v>
      </c>
    </row>
    <row r="17" spans="1:17" ht="13.15" customHeight="1" x14ac:dyDescent="0.25">
      <c r="A17" s="40" t="s">
        <v>526</v>
      </c>
      <c r="B17" s="93" t="s">
        <v>702</v>
      </c>
      <c r="C17" s="69">
        <v>501401</v>
      </c>
      <c r="D17" s="69"/>
      <c r="E17" s="94" t="str">
        <f t="shared" si="2"/>
        <v>00109030501401</v>
      </c>
      <c r="F17" s="42"/>
      <c r="G17" s="34">
        <f t="shared" si="0"/>
        <v>225</v>
      </c>
      <c r="H17" s="43"/>
      <c r="I17" s="34">
        <f t="shared" si="1"/>
        <v>0</v>
      </c>
      <c r="J17" s="43"/>
      <c r="K17" s="45">
        <v>500</v>
      </c>
      <c r="L17" s="43"/>
      <c r="M17" s="45">
        <v>500</v>
      </c>
      <c r="N17" s="39"/>
      <c r="O17" s="72">
        <f t="shared" si="3"/>
        <v>500</v>
      </c>
      <c r="P17" s="2"/>
      <c r="Q17" s="72">
        <f t="shared" si="4"/>
        <v>500</v>
      </c>
    </row>
    <row r="18" spans="1:17" ht="13.15" customHeight="1" x14ac:dyDescent="0.25">
      <c r="A18" s="40" t="s">
        <v>23</v>
      </c>
      <c r="B18" s="93" t="s">
        <v>702</v>
      </c>
      <c r="C18" s="69">
        <v>501600</v>
      </c>
      <c r="D18" s="69"/>
      <c r="E18" s="94" t="str">
        <f t="shared" si="2"/>
        <v>00109030501600</v>
      </c>
      <c r="F18" s="42"/>
      <c r="G18" s="34">
        <f t="shared" si="0"/>
        <v>763</v>
      </c>
      <c r="H18" s="43"/>
      <c r="I18" s="34">
        <f t="shared" si="1"/>
        <v>6848</v>
      </c>
      <c r="J18" s="43"/>
      <c r="K18" s="45">
        <v>7800</v>
      </c>
      <c r="L18" s="43"/>
      <c r="M18" s="45">
        <f>'[1]Payroll Summary by Department'!I53</f>
        <v>7800</v>
      </c>
      <c r="N18" s="39"/>
      <c r="O18" s="72">
        <f t="shared" si="3"/>
        <v>7800</v>
      </c>
      <c r="P18" s="2"/>
      <c r="Q18" s="72">
        <f t="shared" si="4"/>
        <v>7800</v>
      </c>
    </row>
    <row r="19" spans="1:17" ht="13.15" customHeight="1" x14ac:dyDescent="0.25">
      <c r="A19" s="40" t="s">
        <v>25</v>
      </c>
      <c r="B19" s="93" t="s">
        <v>702</v>
      </c>
      <c r="C19" s="41">
        <v>501702</v>
      </c>
      <c r="D19" s="41"/>
      <c r="E19" s="94" t="str">
        <f t="shared" si="2"/>
        <v>00109030501702</v>
      </c>
      <c r="F19" s="42"/>
      <c r="G19" s="34">
        <f t="shared" si="0"/>
        <v>4535</v>
      </c>
      <c r="H19" s="43"/>
      <c r="I19" s="34">
        <f t="shared" si="1"/>
        <v>4427</v>
      </c>
      <c r="J19" s="43"/>
      <c r="K19" s="45">
        <v>4800</v>
      </c>
      <c r="L19" s="43"/>
      <c r="M19" s="45">
        <f>'[1]Payroll Summary by Department'!L53</f>
        <v>4800</v>
      </c>
      <c r="N19" s="44"/>
      <c r="O19" s="72">
        <f t="shared" si="3"/>
        <v>4800</v>
      </c>
      <c r="P19" s="2"/>
      <c r="Q19" s="72">
        <f t="shared" si="4"/>
        <v>4800</v>
      </c>
    </row>
    <row r="20" spans="1:17" ht="13.15" customHeight="1" x14ac:dyDescent="0.25">
      <c r="A20" s="40" t="s">
        <v>26</v>
      </c>
      <c r="B20" s="93" t="s">
        <v>702</v>
      </c>
      <c r="C20" s="41">
        <v>501800</v>
      </c>
      <c r="D20" s="41"/>
      <c r="E20" s="94" t="str">
        <f t="shared" si="2"/>
        <v>00109030501800</v>
      </c>
      <c r="F20" s="42"/>
      <c r="G20" s="34">
        <f t="shared" si="0"/>
        <v>0</v>
      </c>
      <c r="H20" s="43"/>
      <c r="I20" s="34">
        <f t="shared" si="1"/>
        <v>0</v>
      </c>
      <c r="J20" s="43"/>
      <c r="K20" s="45">
        <v>100</v>
      </c>
      <c r="L20" s="43"/>
      <c r="M20" s="45">
        <v>100</v>
      </c>
      <c r="N20" s="39"/>
      <c r="O20" s="72">
        <f t="shared" si="3"/>
        <v>100</v>
      </c>
      <c r="P20" s="2"/>
      <c r="Q20" s="72">
        <f t="shared" si="4"/>
        <v>100</v>
      </c>
    </row>
    <row r="21" spans="1:17" ht="13.15" customHeight="1" x14ac:dyDescent="0.25">
      <c r="A21" s="40" t="s">
        <v>27</v>
      </c>
      <c r="B21" s="93" t="s">
        <v>702</v>
      </c>
      <c r="C21" s="69">
        <v>502100</v>
      </c>
      <c r="D21" s="69"/>
      <c r="E21" s="94" t="str">
        <f t="shared" si="2"/>
        <v>00109030502100</v>
      </c>
      <c r="F21" s="42"/>
      <c r="G21" s="34">
        <f t="shared" si="0"/>
        <v>96651</v>
      </c>
      <c r="H21" s="43"/>
      <c r="I21" s="34">
        <f t="shared" si="1"/>
        <v>96899</v>
      </c>
      <c r="J21" s="43"/>
      <c r="K21" s="45">
        <v>105597</v>
      </c>
      <c r="L21" s="43"/>
      <c r="M21" s="45">
        <f>'[1]Payroll Summary by Department'!N53</f>
        <v>105597</v>
      </c>
      <c r="N21" s="39"/>
      <c r="O21" s="72">
        <f>'[1]Payroll Summary by Department'!N53</f>
        <v>105597</v>
      </c>
      <c r="P21" s="2"/>
      <c r="Q21" s="72">
        <f t="shared" si="4"/>
        <v>105597</v>
      </c>
    </row>
    <row r="22" spans="1:17" ht="13.15" customHeight="1" x14ac:dyDescent="0.25">
      <c r="A22" s="40" t="s">
        <v>28</v>
      </c>
      <c r="B22" s="93" t="s">
        <v>702</v>
      </c>
      <c r="C22" s="69">
        <v>502200</v>
      </c>
      <c r="D22" s="69"/>
      <c r="E22" s="94" t="str">
        <f t="shared" si="2"/>
        <v>00109030502200</v>
      </c>
      <c r="F22" s="42"/>
      <c r="G22" s="34">
        <f t="shared" si="0"/>
        <v>138278</v>
      </c>
      <c r="H22" s="43"/>
      <c r="I22" s="34">
        <f t="shared" si="1"/>
        <v>137311</v>
      </c>
      <c r="J22" s="43"/>
      <c r="K22" s="45">
        <v>182324</v>
      </c>
      <c r="L22" s="43"/>
      <c r="M22" s="45">
        <f>'[1]Payroll Summary by Department'!O53+'[1]Payroll Summary by Department'!P53</f>
        <v>182324</v>
      </c>
      <c r="N22" s="39"/>
      <c r="O22" s="72">
        <f>'[1]Payroll Summary by Department'!O53+'[1]Payroll Summary by Department'!P53</f>
        <v>182324</v>
      </c>
      <c r="P22" s="2"/>
      <c r="Q22" s="72">
        <f t="shared" si="4"/>
        <v>182324</v>
      </c>
    </row>
    <row r="23" spans="1:17" ht="13.15" customHeight="1" x14ac:dyDescent="0.25">
      <c r="A23" s="40" t="s">
        <v>29</v>
      </c>
      <c r="B23" s="93" t="s">
        <v>702</v>
      </c>
      <c r="C23" s="69">
        <v>502300</v>
      </c>
      <c r="D23" s="69"/>
      <c r="E23" s="94" t="str">
        <f t="shared" si="2"/>
        <v>00109030502300</v>
      </c>
      <c r="F23" s="42"/>
      <c r="G23" s="34">
        <f t="shared" si="0"/>
        <v>249525</v>
      </c>
      <c r="H23" s="43"/>
      <c r="I23" s="34">
        <f t="shared" si="1"/>
        <v>234048</v>
      </c>
      <c r="J23" s="43"/>
      <c r="K23" s="45">
        <v>319500</v>
      </c>
      <c r="L23" s="43"/>
      <c r="M23" s="45">
        <f>'[1]Payroll Summary by Department'!Q53</f>
        <v>319500</v>
      </c>
      <c r="N23" s="39"/>
      <c r="O23" s="72">
        <f>'[1]Payroll Summary by Department'!Q53</f>
        <v>319500</v>
      </c>
      <c r="P23" s="2"/>
      <c r="Q23" s="72">
        <f t="shared" si="4"/>
        <v>319500</v>
      </c>
    </row>
    <row r="24" spans="1:17" ht="13.15" customHeight="1" x14ac:dyDescent="0.25">
      <c r="A24" s="40" t="s">
        <v>30</v>
      </c>
      <c r="B24" s="93" t="s">
        <v>702</v>
      </c>
      <c r="C24" s="69">
        <v>502400</v>
      </c>
      <c r="D24" s="69"/>
      <c r="E24" s="94" t="str">
        <f t="shared" si="2"/>
        <v>00109030502400</v>
      </c>
      <c r="F24" s="42"/>
      <c r="G24" s="34">
        <f t="shared" si="0"/>
        <v>2394</v>
      </c>
      <c r="H24" s="43"/>
      <c r="I24" s="34">
        <f t="shared" si="1"/>
        <v>2409</v>
      </c>
      <c r="J24" s="43"/>
      <c r="K24" s="97">
        <v>2476</v>
      </c>
      <c r="L24" s="43"/>
      <c r="M24" s="97">
        <f>'[1]Payroll Summary by Department'!R53</f>
        <v>2476</v>
      </c>
      <c r="N24" s="39"/>
      <c r="O24" s="72">
        <f>'[1]Payroll Summary by Department'!R53</f>
        <v>2476</v>
      </c>
      <c r="P24" s="2"/>
      <c r="Q24" s="72">
        <f t="shared" si="4"/>
        <v>2476</v>
      </c>
    </row>
    <row r="25" spans="1:17" ht="22.15" customHeight="1" x14ac:dyDescent="0.25">
      <c r="A25" s="49" t="s">
        <v>31</v>
      </c>
      <c r="B25" s="50"/>
      <c r="C25" s="42"/>
      <c r="D25" s="42"/>
      <c r="E25" s="94" t="str">
        <f t="shared" si="2"/>
        <v/>
      </c>
      <c r="F25" s="42" t="s">
        <v>19</v>
      </c>
      <c r="G25" s="98">
        <f>SUM(G12:G24)</f>
        <v>1775563</v>
      </c>
      <c r="H25" s="42" t="s">
        <v>19</v>
      </c>
      <c r="I25" s="98">
        <f>SUM(I12:I24)</f>
        <v>1763054</v>
      </c>
      <c r="J25" s="42" t="s">
        <v>19</v>
      </c>
      <c r="K25" s="97">
        <f>SUM(K12:K24)</f>
        <v>1994174</v>
      </c>
      <c r="L25" s="42" t="s">
        <v>19</v>
      </c>
      <c r="M25" s="97">
        <f>SUM(M12:M24)</f>
        <v>1994174</v>
      </c>
      <c r="N25" s="141" t="s">
        <v>19</v>
      </c>
      <c r="O25" s="98">
        <f>SUM(O12:O24)</f>
        <v>1994174</v>
      </c>
      <c r="P25" s="141" t="s">
        <v>19</v>
      </c>
      <c r="Q25" s="98">
        <f>SUM(Q12:Q24)</f>
        <v>1994174</v>
      </c>
    </row>
    <row r="26" spans="1:17" ht="22.15" customHeight="1" x14ac:dyDescent="0.25">
      <c r="A26" s="99" t="s">
        <v>32</v>
      </c>
      <c r="B26" s="29"/>
      <c r="C26" s="42"/>
      <c r="D26" s="42"/>
      <c r="E26" s="94" t="str">
        <f t="shared" si="2"/>
        <v/>
      </c>
      <c r="F26" s="42"/>
      <c r="G26" s="45"/>
      <c r="H26" s="42"/>
      <c r="I26" s="45"/>
      <c r="J26" s="42"/>
      <c r="K26" s="45"/>
      <c r="L26" s="42"/>
      <c r="M26" s="45"/>
      <c r="N26" s="141"/>
      <c r="O26" s="45"/>
      <c r="P26" s="2"/>
      <c r="Q26" s="45"/>
    </row>
    <row r="27" spans="1:17" ht="13.15" customHeight="1" x14ac:dyDescent="0.25">
      <c r="A27" s="100" t="s">
        <v>123</v>
      </c>
      <c r="B27" s="70"/>
      <c r="C27" s="42"/>
      <c r="D27" s="42"/>
      <c r="E27" s="94" t="str">
        <f t="shared" si="2"/>
        <v/>
      </c>
      <c r="F27" s="42"/>
      <c r="G27" s="45"/>
      <c r="H27" s="42"/>
      <c r="I27" s="45"/>
      <c r="J27" s="42"/>
      <c r="K27" s="45"/>
      <c r="L27" s="42"/>
      <c r="M27" s="45"/>
      <c r="N27" s="141"/>
      <c r="O27" s="45"/>
      <c r="P27" s="2"/>
      <c r="Q27" s="45"/>
    </row>
    <row r="28" spans="1:17" ht="13.15" customHeight="1" x14ac:dyDescent="0.25">
      <c r="A28" s="60" t="s">
        <v>704</v>
      </c>
      <c r="B28" s="61"/>
      <c r="C28" s="42" t="s">
        <v>41</v>
      </c>
      <c r="D28" s="42"/>
      <c r="E28" s="94" t="str">
        <f t="shared" si="2"/>
        <v>3C</v>
      </c>
      <c r="F28" s="42"/>
      <c r="G28" s="188">
        <v>1</v>
      </c>
      <c r="H28" s="189"/>
      <c r="I28" s="188">
        <v>1</v>
      </c>
      <c r="J28" s="42"/>
      <c r="K28" s="188">
        <v>1</v>
      </c>
      <c r="L28" s="42"/>
      <c r="M28" s="129">
        <v>1</v>
      </c>
      <c r="N28" s="141"/>
      <c r="O28" s="129">
        <f>M28</f>
        <v>1</v>
      </c>
      <c r="P28" s="2"/>
      <c r="Q28" s="129">
        <f>O28</f>
        <v>1</v>
      </c>
    </row>
    <row r="29" spans="1:17" ht="13.15" customHeight="1" x14ac:dyDescent="0.25">
      <c r="A29" s="60" t="s">
        <v>705</v>
      </c>
      <c r="B29" s="61"/>
      <c r="C29" s="42" t="s">
        <v>43</v>
      </c>
      <c r="D29" s="42"/>
      <c r="E29" s="94" t="str">
        <f t="shared" si="2"/>
        <v>3B</v>
      </c>
      <c r="F29" s="42"/>
      <c r="G29" s="188">
        <v>1</v>
      </c>
      <c r="H29" s="189"/>
      <c r="I29" s="188">
        <v>1</v>
      </c>
      <c r="J29" s="42"/>
      <c r="K29" s="188">
        <v>1</v>
      </c>
      <c r="L29" s="42"/>
      <c r="M29" s="129">
        <v>1</v>
      </c>
      <c r="N29" s="141"/>
      <c r="O29" s="129">
        <f t="shared" ref="O29:O36" si="5">M29</f>
        <v>1</v>
      </c>
      <c r="P29" s="2"/>
      <c r="Q29" s="129">
        <f t="shared" ref="Q29:Q40" si="6">O29</f>
        <v>1</v>
      </c>
    </row>
    <row r="30" spans="1:17" ht="13.15" customHeight="1" x14ac:dyDescent="0.25">
      <c r="A30" s="60" t="s">
        <v>706</v>
      </c>
      <c r="B30" s="61"/>
      <c r="C30" s="42" t="s">
        <v>43</v>
      </c>
      <c r="D30" s="42"/>
      <c r="E30" s="94" t="str">
        <f t="shared" si="2"/>
        <v>3B</v>
      </c>
      <c r="F30" s="120"/>
      <c r="G30" s="188">
        <v>1</v>
      </c>
      <c r="H30" s="189"/>
      <c r="I30" s="188">
        <v>1</v>
      </c>
      <c r="J30" s="120"/>
      <c r="K30" s="129">
        <v>1</v>
      </c>
      <c r="L30" s="120"/>
      <c r="M30" s="129">
        <v>1</v>
      </c>
      <c r="N30" s="190"/>
      <c r="O30" s="129">
        <f t="shared" si="5"/>
        <v>1</v>
      </c>
      <c r="P30" s="2"/>
      <c r="Q30" s="129">
        <f t="shared" si="6"/>
        <v>1</v>
      </c>
    </row>
    <row r="31" spans="1:17" ht="13.15" customHeight="1" x14ac:dyDescent="0.25">
      <c r="A31" s="60" t="s">
        <v>707</v>
      </c>
      <c r="B31" s="61"/>
      <c r="C31" s="42" t="s">
        <v>43</v>
      </c>
      <c r="D31" s="42"/>
      <c r="E31" s="94" t="str">
        <f t="shared" si="2"/>
        <v>3B</v>
      </c>
      <c r="F31" s="120"/>
      <c r="G31" s="188">
        <v>1</v>
      </c>
      <c r="H31" s="189"/>
      <c r="I31" s="188">
        <v>1</v>
      </c>
      <c r="J31" s="120"/>
      <c r="K31" s="129">
        <v>1</v>
      </c>
      <c r="L31" s="120"/>
      <c r="M31" s="129">
        <v>1</v>
      </c>
      <c r="N31" s="190"/>
      <c r="O31" s="129">
        <f t="shared" si="5"/>
        <v>1</v>
      </c>
      <c r="P31" s="2"/>
      <c r="Q31" s="129">
        <f t="shared" si="6"/>
        <v>1</v>
      </c>
    </row>
    <row r="32" spans="1:17" ht="13.15" customHeight="1" x14ac:dyDescent="0.25">
      <c r="A32" s="60" t="s">
        <v>708</v>
      </c>
      <c r="B32" s="61"/>
      <c r="C32" s="42" t="s">
        <v>324</v>
      </c>
      <c r="D32" s="42"/>
      <c r="E32" s="94" t="str">
        <f t="shared" si="2"/>
        <v>3A</v>
      </c>
      <c r="F32" s="42"/>
      <c r="G32" s="188">
        <v>1</v>
      </c>
      <c r="H32" s="189"/>
      <c r="I32" s="188">
        <v>1</v>
      </c>
      <c r="J32" s="42"/>
      <c r="K32" s="129">
        <v>1</v>
      </c>
      <c r="L32" s="42"/>
      <c r="M32" s="129">
        <v>1</v>
      </c>
      <c r="N32" s="141"/>
      <c r="O32" s="129">
        <f t="shared" si="5"/>
        <v>1</v>
      </c>
      <c r="P32" s="2"/>
      <c r="Q32" s="129">
        <f t="shared" si="6"/>
        <v>1</v>
      </c>
    </row>
    <row r="33" spans="1:23" s="15" customFormat="1" ht="13.15" customHeight="1" x14ac:dyDescent="0.25">
      <c r="A33" s="60" t="s">
        <v>709</v>
      </c>
      <c r="B33" s="61"/>
      <c r="C33" s="42" t="s">
        <v>324</v>
      </c>
      <c r="D33" s="42"/>
      <c r="E33" s="94" t="str">
        <f t="shared" si="2"/>
        <v>3A</v>
      </c>
      <c r="F33" s="42"/>
      <c r="G33" s="188">
        <v>1</v>
      </c>
      <c r="H33" s="189"/>
      <c r="I33" s="188">
        <v>1</v>
      </c>
      <c r="J33" s="42"/>
      <c r="K33" s="129">
        <v>2</v>
      </c>
      <c r="L33" s="42"/>
      <c r="M33" s="129">
        <v>2</v>
      </c>
      <c r="N33" s="141"/>
      <c r="O33" s="129">
        <f t="shared" si="5"/>
        <v>2</v>
      </c>
      <c r="Q33" s="129">
        <f t="shared" si="6"/>
        <v>2</v>
      </c>
      <c r="R33"/>
      <c r="S33"/>
      <c r="T33"/>
      <c r="U33"/>
      <c r="V33"/>
      <c r="W33"/>
    </row>
    <row r="34" spans="1:23" s="15" customFormat="1" ht="13.15" customHeight="1" x14ac:dyDescent="0.25">
      <c r="A34" s="60" t="s">
        <v>710</v>
      </c>
      <c r="B34" s="61"/>
      <c r="C34" s="42" t="s">
        <v>324</v>
      </c>
      <c r="D34" s="42"/>
      <c r="E34" s="94" t="str">
        <f t="shared" si="2"/>
        <v>3A</v>
      </c>
      <c r="F34" s="42"/>
      <c r="G34" s="188">
        <v>1</v>
      </c>
      <c r="H34" s="189"/>
      <c r="I34" s="188">
        <v>1</v>
      </c>
      <c r="J34" s="42"/>
      <c r="K34" s="131">
        <v>1</v>
      </c>
      <c r="L34" s="42"/>
      <c r="M34" s="131">
        <v>1</v>
      </c>
      <c r="N34" s="141"/>
      <c r="O34" s="129">
        <f t="shared" si="5"/>
        <v>1</v>
      </c>
      <c r="Q34" s="129">
        <f t="shared" si="6"/>
        <v>1</v>
      </c>
      <c r="R34"/>
      <c r="S34"/>
      <c r="T34"/>
      <c r="U34"/>
      <c r="V34"/>
      <c r="W34"/>
    </row>
    <row r="35" spans="1:23" ht="13.15" customHeight="1" x14ac:dyDescent="0.25">
      <c r="A35" s="60" t="s">
        <v>711</v>
      </c>
      <c r="B35" s="61"/>
      <c r="C35" s="42" t="s">
        <v>712</v>
      </c>
      <c r="D35" s="42"/>
      <c r="E35" s="94" t="str">
        <f t="shared" si="2"/>
        <v>3A/3B</v>
      </c>
      <c r="F35" s="42"/>
      <c r="G35" s="188">
        <v>1</v>
      </c>
      <c r="H35" s="189"/>
      <c r="I35" s="188">
        <v>1</v>
      </c>
      <c r="J35" s="42"/>
      <c r="K35" s="131">
        <v>1</v>
      </c>
      <c r="L35" s="42"/>
      <c r="M35" s="131">
        <v>1</v>
      </c>
      <c r="N35" s="141"/>
      <c r="O35" s="129">
        <v>1</v>
      </c>
      <c r="P35" s="2"/>
      <c r="Q35" s="129">
        <f t="shared" si="6"/>
        <v>1</v>
      </c>
    </row>
    <row r="36" spans="1:23" s="15" customFormat="1" ht="13.15" customHeight="1" x14ac:dyDescent="0.25">
      <c r="A36" s="60" t="s">
        <v>713</v>
      </c>
      <c r="B36" s="61"/>
      <c r="C36" s="42" t="s">
        <v>46</v>
      </c>
      <c r="D36" s="42"/>
      <c r="E36" s="94" t="str">
        <f t="shared" si="2"/>
        <v>4C</v>
      </c>
      <c r="F36" s="42"/>
      <c r="G36" s="188">
        <v>4</v>
      </c>
      <c r="H36" s="189"/>
      <c r="I36" s="188">
        <v>4</v>
      </c>
      <c r="J36" s="42"/>
      <c r="K36" s="129">
        <v>6</v>
      </c>
      <c r="L36" s="42"/>
      <c r="M36" s="129">
        <v>6</v>
      </c>
      <c r="N36" s="141"/>
      <c r="O36" s="129">
        <f t="shared" si="5"/>
        <v>6</v>
      </c>
      <c r="Q36" s="129">
        <f t="shared" si="6"/>
        <v>6</v>
      </c>
      <c r="R36"/>
      <c r="S36"/>
      <c r="T36"/>
      <c r="U36"/>
      <c r="V36"/>
      <c r="W36"/>
    </row>
    <row r="37" spans="1:23" s="15" customFormat="1" ht="13.15" customHeight="1" x14ac:dyDescent="0.25">
      <c r="A37" s="60" t="s">
        <v>714</v>
      </c>
      <c r="B37" s="61"/>
      <c r="C37" s="42" t="s">
        <v>715</v>
      </c>
      <c r="D37" s="42"/>
      <c r="E37" s="94" t="str">
        <f t="shared" si="2"/>
        <v>6B</v>
      </c>
      <c r="F37" s="42"/>
      <c r="G37" s="188">
        <v>1</v>
      </c>
      <c r="H37" s="189"/>
      <c r="I37" s="188">
        <v>1</v>
      </c>
      <c r="J37" s="42"/>
      <c r="K37" s="129">
        <v>1</v>
      </c>
      <c r="L37" s="42"/>
      <c r="M37" s="129">
        <v>1</v>
      </c>
      <c r="N37" s="141"/>
      <c r="O37" s="129">
        <v>1</v>
      </c>
      <c r="Q37" s="129">
        <f t="shared" si="6"/>
        <v>1</v>
      </c>
      <c r="R37"/>
      <c r="S37"/>
      <c r="T37"/>
      <c r="U37"/>
      <c r="V37"/>
      <c r="W37"/>
    </row>
    <row r="38" spans="1:23" ht="13.15" customHeight="1" x14ac:dyDescent="0.25">
      <c r="A38" s="60" t="s">
        <v>716</v>
      </c>
      <c r="B38" s="61"/>
      <c r="C38" s="42" t="s">
        <v>46</v>
      </c>
      <c r="D38" s="42"/>
      <c r="E38" s="94" t="str">
        <f t="shared" si="2"/>
        <v>4C</v>
      </c>
      <c r="F38" s="42"/>
      <c r="G38" s="188">
        <v>1</v>
      </c>
      <c r="H38" s="189"/>
      <c r="I38" s="188">
        <v>1</v>
      </c>
      <c r="J38" s="42"/>
      <c r="K38" s="129">
        <v>1</v>
      </c>
      <c r="L38" s="42"/>
      <c r="M38" s="129">
        <v>1</v>
      </c>
      <c r="N38" s="141"/>
      <c r="O38" s="129">
        <v>1</v>
      </c>
      <c r="P38" s="2"/>
      <c r="Q38" s="129">
        <f t="shared" si="6"/>
        <v>1</v>
      </c>
    </row>
    <row r="39" spans="1:23" ht="13.15" customHeight="1" x14ac:dyDescent="0.25">
      <c r="A39" s="60" t="s">
        <v>717</v>
      </c>
      <c r="B39" s="61"/>
      <c r="C39" s="42" t="s">
        <v>46</v>
      </c>
      <c r="D39" s="42"/>
      <c r="E39" s="94" t="str">
        <f t="shared" si="2"/>
        <v>4C</v>
      </c>
      <c r="F39" s="42"/>
      <c r="G39" s="188">
        <v>2</v>
      </c>
      <c r="H39" s="189"/>
      <c r="I39" s="188">
        <v>2</v>
      </c>
      <c r="J39" s="42"/>
      <c r="K39" s="131">
        <v>1</v>
      </c>
      <c r="L39" s="42"/>
      <c r="M39" s="131">
        <v>1</v>
      </c>
      <c r="N39" s="141"/>
      <c r="O39" s="129">
        <v>1</v>
      </c>
      <c r="P39" s="2"/>
      <c r="Q39" s="129">
        <f t="shared" si="6"/>
        <v>1</v>
      </c>
    </row>
    <row r="40" spans="1:23" ht="13.15" customHeight="1" x14ac:dyDescent="0.25">
      <c r="A40" s="60" t="s">
        <v>718</v>
      </c>
      <c r="B40" s="61"/>
      <c r="C40" s="42" t="s">
        <v>599</v>
      </c>
      <c r="D40" s="42"/>
      <c r="E40" s="94" t="str">
        <f t="shared" si="2"/>
        <v>4B</v>
      </c>
      <c r="F40" s="42"/>
      <c r="G40" s="188">
        <v>14</v>
      </c>
      <c r="H40" s="189"/>
      <c r="I40" s="188">
        <v>13</v>
      </c>
      <c r="J40" s="42"/>
      <c r="K40" s="129">
        <v>10</v>
      </c>
      <c r="L40" s="42"/>
      <c r="M40" s="129">
        <v>10</v>
      </c>
      <c r="N40" s="141"/>
      <c r="O40" s="129">
        <v>10</v>
      </c>
      <c r="P40" s="2"/>
      <c r="Q40" s="129">
        <f t="shared" si="6"/>
        <v>10</v>
      </c>
    </row>
    <row r="41" spans="1:23" s="15" customFormat="1" ht="13.15" customHeight="1" x14ac:dyDescent="0.25">
      <c r="A41" s="60" t="s">
        <v>719</v>
      </c>
      <c r="B41" s="61"/>
      <c r="C41" s="42" t="s">
        <v>324</v>
      </c>
      <c r="D41" s="42"/>
      <c r="E41" s="94" t="str">
        <f t="shared" si="2"/>
        <v>3A</v>
      </c>
      <c r="F41" s="42"/>
      <c r="G41" s="188">
        <v>1</v>
      </c>
      <c r="H41" s="189"/>
      <c r="I41" s="188">
        <v>1</v>
      </c>
      <c r="J41" s="42"/>
      <c r="K41" s="129">
        <v>0</v>
      </c>
      <c r="L41" s="42"/>
      <c r="M41" s="129">
        <v>0</v>
      </c>
      <c r="N41" s="141"/>
      <c r="O41" s="129">
        <f>M41</f>
        <v>0</v>
      </c>
      <c r="Q41" s="129">
        <f>O41</f>
        <v>0</v>
      </c>
      <c r="R41"/>
      <c r="S41"/>
      <c r="T41"/>
      <c r="U41"/>
      <c r="V41"/>
      <c r="W41"/>
    </row>
    <row r="42" spans="1:23" s="15" customFormat="1" ht="13.15" customHeight="1" x14ac:dyDescent="0.25">
      <c r="A42" s="60" t="s">
        <v>720</v>
      </c>
      <c r="B42" s="61"/>
      <c r="C42" s="42" t="s">
        <v>324</v>
      </c>
      <c r="D42" s="42"/>
      <c r="E42" s="94" t="str">
        <f t="shared" si="2"/>
        <v>3A</v>
      </c>
      <c r="F42" s="42"/>
      <c r="G42" s="188">
        <v>0</v>
      </c>
      <c r="H42" s="189"/>
      <c r="I42" s="188">
        <v>0</v>
      </c>
      <c r="J42" s="42"/>
      <c r="K42" s="129">
        <v>0</v>
      </c>
      <c r="L42" s="42"/>
      <c r="M42" s="129">
        <v>0</v>
      </c>
      <c r="N42" s="141"/>
      <c r="O42" s="129">
        <f>M42</f>
        <v>0</v>
      </c>
      <c r="Q42" s="129">
        <f>O42</f>
        <v>0</v>
      </c>
      <c r="R42"/>
      <c r="S42"/>
      <c r="T42"/>
      <c r="U42"/>
      <c r="V42"/>
      <c r="W42"/>
    </row>
    <row r="43" spans="1:23" s="15" customFormat="1" ht="13.15" customHeight="1" x14ac:dyDescent="0.25">
      <c r="A43" s="60" t="s">
        <v>50</v>
      </c>
      <c r="B43" s="61"/>
      <c r="C43" s="42" t="s">
        <v>46</v>
      </c>
      <c r="D43" s="42"/>
      <c r="E43" s="94" t="str">
        <f t="shared" si="2"/>
        <v>4C</v>
      </c>
      <c r="F43" s="42"/>
      <c r="G43" s="188">
        <v>0</v>
      </c>
      <c r="H43" s="189"/>
      <c r="I43" s="188">
        <v>0</v>
      </c>
      <c r="J43" s="42"/>
      <c r="K43" s="131">
        <v>0</v>
      </c>
      <c r="L43" s="42"/>
      <c r="M43" s="131">
        <v>0</v>
      </c>
      <c r="N43" s="141"/>
      <c r="O43" s="129">
        <f>M43</f>
        <v>0</v>
      </c>
      <c r="Q43" s="129">
        <f>O43</f>
        <v>0</v>
      </c>
      <c r="R43"/>
      <c r="S43"/>
      <c r="T43"/>
      <c r="U43"/>
      <c r="V43"/>
      <c r="W43"/>
    </row>
    <row r="44" spans="1:23" ht="13.15" customHeight="1" x14ac:dyDescent="0.25">
      <c r="A44" s="60" t="s">
        <v>721</v>
      </c>
      <c r="B44" s="61"/>
      <c r="C44" s="42" t="s">
        <v>46</v>
      </c>
      <c r="D44" s="42"/>
      <c r="E44" s="94" t="str">
        <f t="shared" si="2"/>
        <v>4C</v>
      </c>
      <c r="F44" s="42"/>
      <c r="G44" s="188">
        <v>0</v>
      </c>
      <c r="H44" s="189"/>
      <c r="I44" s="188">
        <v>0</v>
      </c>
      <c r="J44" s="42"/>
      <c r="K44" s="129">
        <v>0</v>
      </c>
      <c r="L44" s="42"/>
      <c r="M44" s="129">
        <v>0</v>
      </c>
      <c r="N44" s="141"/>
      <c r="O44" s="129">
        <f>M44</f>
        <v>0</v>
      </c>
      <c r="P44" s="2"/>
      <c r="Q44" s="129">
        <f>O44</f>
        <v>0</v>
      </c>
    </row>
    <row r="45" spans="1:23" ht="13.15" customHeight="1" x14ac:dyDescent="0.25">
      <c r="A45" s="60" t="s">
        <v>722</v>
      </c>
      <c r="B45" s="61"/>
      <c r="C45" s="42" t="s">
        <v>46</v>
      </c>
      <c r="D45" s="42"/>
      <c r="E45" s="94" t="str">
        <f t="shared" si="2"/>
        <v>4C</v>
      </c>
      <c r="F45" s="42"/>
      <c r="G45" s="188">
        <v>0</v>
      </c>
      <c r="H45" s="189"/>
      <c r="I45" s="188">
        <v>0</v>
      </c>
      <c r="J45" s="42"/>
      <c r="K45" s="131">
        <v>0</v>
      </c>
      <c r="L45" s="42"/>
      <c r="M45" s="131">
        <v>0</v>
      </c>
      <c r="N45" s="141"/>
      <c r="O45" s="129">
        <f>M45</f>
        <v>0</v>
      </c>
      <c r="P45" s="2"/>
      <c r="Q45" s="129">
        <f>O45</f>
        <v>0</v>
      </c>
    </row>
    <row r="46" spans="1:23" ht="13.5" customHeight="1" x14ac:dyDescent="0.25">
      <c r="A46" s="60"/>
      <c r="B46" s="61"/>
      <c r="C46" s="42"/>
      <c r="D46" s="42"/>
      <c r="E46" s="94" t="str">
        <f t="shared" si="2"/>
        <v/>
      </c>
      <c r="F46" s="42"/>
      <c r="G46" s="188"/>
      <c r="H46" s="189"/>
      <c r="I46" s="188"/>
      <c r="J46" s="42"/>
      <c r="K46" s="129"/>
      <c r="L46" s="42"/>
      <c r="M46" s="129"/>
      <c r="N46" s="141"/>
      <c r="O46" s="129"/>
      <c r="P46" s="2"/>
      <c r="Q46" s="129"/>
    </row>
    <row r="47" spans="1:23" ht="22.15" customHeight="1" x14ac:dyDescent="0.25">
      <c r="A47" s="137" t="s">
        <v>723</v>
      </c>
      <c r="B47" s="50"/>
      <c r="C47" s="42"/>
      <c r="D47" s="42"/>
      <c r="E47" s="94" t="str">
        <f t="shared" si="2"/>
        <v/>
      </c>
      <c r="F47" s="42"/>
      <c r="G47" s="191">
        <f>SUM(G28:G46)</f>
        <v>31</v>
      </c>
      <c r="H47" s="42"/>
      <c r="I47" s="191">
        <f>SUM(I28:I46)</f>
        <v>30</v>
      </c>
      <c r="J47" s="42"/>
      <c r="K47" s="191">
        <f>SUM(K28:K46)</f>
        <v>28</v>
      </c>
      <c r="L47" s="42"/>
      <c r="M47" s="191">
        <f>SUM(M28:M46)</f>
        <v>28</v>
      </c>
      <c r="N47" s="141"/>
      <c r="O47" s="191">
        <f>SUM(O28:O46)</f>
        <v>28</v>
      </c>
      <c r="P47" s="2"/>
      <c r="Q47" s="191">
        <f>SUM(Q28:Q46)</f>
        <v>28</v>
      </c>
    </row>
    <row r="48" spans="1:23" ht="22.15" customHeight="1" x14ac:dyDescent="0.25">
      <c r="A48" s="100" t="s">
        <v>333</v>
      </c>
      <c r="B48" s="70"/>
      <c r="C48" s="42"/>
      <c r="D48" s="42"/>
      <c r="E48" s="94" t="str">
        <f t="shared" si="2"/>
        <v/>
      </c>
      <c r="F48" s="42"/>
      <c r="G48" s="129"/>
      <c r="H48" s="42"/>
      <c r="I48" s="129"/>
      <c r="J48" s="42"/>
      <c r="K48" s="129"/>
      <c r="L48" s="42"/>
      <c r="M48" s="129"/>
      <c r="N48" s="141"/>
      <c r="O48" s="129"/>
      <c r="P48" s="2"/>
      <c r="Q48" s="129"/>
    </row>
    <row r="49" spans="1:17" ht="13.15" customHeight="1" x14ac:dyDescent="0.25">
      <c r="A49" s="60" t="s">
        <v>724</v>
      </c>
      <c r="B49" s="61"/>
      <c r="C49" s="42" t="s">
        <v>725</v>
      </c>
      <c r="D49" s="42"/>
      <c r="E49" s="94" t="str">
        <f t="shared" si="2"/>
        <v>4APT</v>
      </c>
      <c r="F49" s="42"/>
      <c r="G49" s="188">
        <f>ROUND(S49,0)</f>
        <v>0</v>
      </c>
      <c r="H49" s="42"/>
      <c r="I49" s="188">
        <v>1</v>
      </c>
      <c r="J49" s="42"/>
      <c r="K49" s="101">
        <v>1</v>
      </c>
      <c r="L49" s="42"/>
      <c r="M49" s="101">
        <v>1</v>
      </c>
      <c r="N49" s="141"/>
      <c r="O49" s="101">
        <f>M49</f>
        <v>1</v>
      </c>
      <c r="P49" s="2"/>
      <c r="Q49" s="101">
        <f>O49</f>
        <v>1</v>
      </c>
    </row>
    <row r="50" spans="1:17" ht="22.15" customHeight="1" x14ac:dyDescent="0.25">
      <c r="A50" s="137" t="s">
        <v>334</v>
      </c>
      <c r="B50" s="50"/>
      <c r="C50" s="42"/>
      <c r="D50" s="42"/>
      <c r="E50" s="94" t="str">
        <f t="shared" si="2"/>
        <v/>
      </c>
      <c r="F50" s="42"/>
      <c r="G50" s="191">
        <f>G49</f>
        <v>0</v>
      </c>
      <c r="H50" s="42"/>
      <c r="I50" s="191">
        <f>I49</f>
        <v>1</v>
      </c>
      <c r="J50" s="42"/>
      <c r="K50" s="191">
        <f>K49</f>
        <v>1</v>
      </c>
      <c r="L50" s="42"/>
      <c r="M50" s="191">
        <f>M49</f>
        <v>1</v>
      </c>
      <c r="N50" s="141"/>
      <c r="O50" s="191">
        <f>O49</f>
        <v>1</v>
      </c>
      <c r="P50" s="2"/>
      <c r="Q50" s="191">
        <f>Q49</f>
        <v>1</v>
      </c>
    </row>
    <row r="51" spans="1:17" ht="22.15" customHeight="1" thickBot="1" x14ac:dyDescent="0.3">
      <c r="A51" s="49" t="s">
        <v>332</v>
      </c>
      <c r="B51" s="50"/>
      <c r="C51" s="120"/>
      <c r="D51" s="120"/>
      <c r="E51" s="94" t="str">
        <f t="shared" si="2"/>
        <v/>
      </c>
      <c r="F51" s="42"/>
      <c r="G51" s="103">
        <f>+G47+G50</f>
        <v>31</v>
      </c>
      <c r="H51" s="42"/>
      <c r="I51" s="103">
        <f>+I47+I50</f>
        <v>31</v>
      </c>
      <c r="J51" s="42"/>
      <c r="K51" s="103">
        <f>+K47+K50</f>
        <v>29</v>
      </c>
      <c r="L51" s="42"/>
      <c r="M51" s="103">
        <f>+M47+M50</f>
        <v>29</v>
      </c>
      <c r="N51" s="141"/>
      <c r="O51" s="103">
        <f>+O47+O50</f>
        <v>29</v>
      </c>
      <c r="P51" s="2"/>
      <c r="Q51" s="103">
        <f>+Q47+Q50</f>
        <v>29</v>
      </c>
    </row>
    <row r="52" spans="1:17" ht="13.15" customHeight="1" thickTop="1" x14ac:dyDescent="0.25">
      <c r="A52" s="99" t="s">
        <v>52</v>
      </c>
      <c r="B52" s="29"/>
      <c r="C52" s="42"/>
      <c r="D52" s="42"/>
      <c r="E52" s="94" t="str">
        <f t="shared" si="2"/>
        <v/>
      </c>
      <c r="F52" s="42"/>
      <c r="G52" s="45"/>
      <c r="H52" s="42"/>
      <c r="I52" s="45"/>
      <c r="J52" s="42"/>
      <c r="K52" s="45"/>
      <c r="L52" s="42"/>
      <c r="M52" s="45"/>
      <c r="N52" s="141"/>
      <c r="O52" s="45"/>
      <c r="P52" s="2"/>
      <c r="Q52" s="45"/>
    </row>
    <row r="53" spans="1:17" ht="13.15" customHeight="1" x14ac:dyDescent="0.25">
      <c r="A53" s="40" t="s">
        <v>726</v>
      </c>
      <c r="B53" s="93" t="s">
        <v>702</v>
      </c>
      <c r="C53" s="69">
        <v>503420</v>
      </c>
      <c r="D53" s="69"/>
      <c r="E53" s="94" t="str">
        <f t="shared" si="2"/>
        <v>00109030503420</v>
      </c>
      <c r="F53" s="42" t="s">
        <v>19</v>
      </c>
      <c r="G53" s="34">
        <f t="shared" ref="G53:G101" si="7">ROUND(IFERROR(VLOOKUP(_xlfn.CONCAT($B53,$C53,$D53),$A$117:$C$9996,3,FALSE),0),0)</f>
        <v>393841</v>
      </c>
      <c r="H53" s="42" t="s">
        <v>19</v>
      </c>
      <c r="I53" s="34">
        <f t="shared" ref="I53:I106" si="8">ROUND(IFERROR(VLOOKUP(_xlfn.CONCAT($B53,$C53,$D53),$A$117:$C$9996,2,FALSE),0),0)</f>
        <v>466983</v>
      </c>
      <c r="J53" s="42" t="s">
        <v>19</v>
      </c>
      <c r="K53" s="45">
        <v>560000</v>
      </c>
      <c r="L53" s="42" t="s">
        <v>19</v>
      </c>
      <c r="M53" s="234">
        <v>560000</v>
      </c>
      <c r="N53" s="141" t="s">
        <v>19</v>
      </c>
      <c r="O53" s="45">
        <f>M53</f>
        <v>560000</v>
      </c>
      <c r="P53" s="141" t="s">
        <v>19</v>
      </c>
      <c r="Q53" s="45">
        <f>O53</f>
        <v>560000</v>
      </c>
    </row>
    <row r="54" spans="1:17" ht="13.15" customHeight="1" x14ac:dyDescent="0.25">
      <c r="A54" s="60" t="s">
        <v>727</v>
      </c>
      <c r="B54" s="93" t="s">
        <v>702</v>
      </c>
      <c r="C54" s="69">
        <v>503420</v>
      </c>
      <c r="D54" s="69">
        <v>22025</v>
      </c>
      <c r="E54" s="94" t="str">
        <f t="shared" si="2"/>
        <v>0010903050342022025</v>
      </c>
      <c r="F54" s="42"/>
      <c r="G54" s="34">
        <f t="shared" si="7"/>
        <v>1320</v>
      </c>
      <c r="H54" s="42"/>
      <c r="I54" s="34">
        <f t="shared" si="8"/>
        <v>0</v>
      </c>
      <c r="J54" s="42"/>
      <c r="K54" s="45">
        <v>0</v>
      </c>
      <c r="L54" s="42"/>
      <c r="M54" s="234">
        <v>0</v>
      </c>
      <c r="N54" s="141"/>
      <c r="O54" s="45">
        <f>M54</f>
        <v>0</v>
      </c>
      <c r="P54" s="141"/>
      <c r="Q54" s="45">
        <f>O54</f>
        <v>0</v>
      </c>
    </row>
    <row r="55" spans="1:17" ht="13.15" customHeight="1" x14ac:dyDescent="0.25">
      <c r="A55" s="60" t="s">
        <v>728</v>
      </c>
      <c r="B55" s="93" t="s">
        <v>702</v>
      </c>
      <c r="C55" s="69"/>
      <c r="D55" s="69"/>
      <c r="E55" s="94" t="str">
        <f t="shared" si="2"/>
        <v>00109030</v>
      </c>
      <c r="F55" s="42"/>
      <c r="G55" s="34">
        <f t="shared" si="7"/>
        <v>0</v>
      </c>
      <c r="H55" s="43"/>
      <c r="I55" s="34">
        <f t="shared" si="8"/>
        <v>0</v>
      </c>
      <c r="J55" s="43"/>
      <c r="K55" s="45">
        <v>15000</v>
      </c>
      <c r="L55" s="43"/>
      <c r="M55" s="234">
        <v>15000</v>
      </c>
      <c r="N55" s="39"/>
      <c r="O55" s="45">
        <f t="shared" ref="O55:O106" si="9">M55</f>
        <v>15000</v>
      </c>
      <c r="P55" s="2"/>
      <c r="Q55" s="45">
        <f t="shared" ref="Q55:Q106" si="10">O55</f>
        <v>15000</v>
      </c>
    </row>
    <row r="56" spans="1:17" ht="13.15" customHeight="1" x14ac:dyDescent="0.25">
      <c r="A56" s="60" t="s">
        <v>729</v>
      </c>
      <c r="B56" s="93" t="s">
        <v>702</v>
      </c>
      <c r="C56" s="69"/>
      <c r="D56" s="69"/>
      <c r="E56" s="94" t="str">
        <f t="shared" si="2"/>
        <v>00109030</v>
      </c>
      <c r="F56" s="42"/>
      <c r="G56" s="34">
        <f t="shared" si="7"/>
        <v>0</v>
      </c>
      <c r="H56" s="43"/>
      <c r="I56" s="34">
        <f t="shared" si="8"/>
        <v>0</v>
      </c>
      <c r="J56" s="43"/>
      <c r="K56" s="45">
        <v>60000</v>
      </c>
      <c r="L56" s="43"/>
      <c r="M56" s="234">
        <v>60000</v>
      </c>
      <c r="N56" s="39"/>
      <c r="O56" s="45">
        <f>M56</f>
        <v>60000</v>
      </c>
      <c r="P56" s="2"/>
      <c r="Q56" s="45">
        <f>O56</f>
        <v>60000</v>
      </c>
    </row>
    <row r="57" spans="1:17" ht="13.15" customHeight="1" x14ac:dyDescent="0.25">
      <c r="A57" s="40" t="s">
        <v>125</v>
      </c>
      <c r="B57" s="93" t="s">
        <v>702</v>
      </c>
      <c r="C57" s="69">
        <v>503450</v>
      </c>
      <c r="D57" s="69"/>
      <c r="E57" s="94" t="str">
        <f t="shared" si="2"/>
        <v>00109030503450</v>
      </c>
      <c r="F57" s="42"/>
      <c r="G57" s="34">
        <f t="shared" si="7"/>
        <v>1033</v>
      </c>
      <c r="H57" s="43"/>
      <c r="I57" s="34">
        <f t="shared" si="8"/>
        <v>2620</v>
      </c>
      <c r="J57" s="43"/>
      <c r="K57" s="45">
        <v>3000</v>
      </c>
      <c r="L57" s="43"/>
      <c r="M57" s="234">
        <v>3000</v>
      </c>
      <c r="N57" s="39"/>
      <c r="O57" s="45">
        <f t="shared" si="9"/>
        <v>3000</v>
      </c>
      <c r="P57" s="2"/>
      <c r="Q57" s="45">
        <f t="shared" si="10"/>
        <v>3000</v>
      </c>
    </row>
    <row r="58" spans="1:17" ht="13.15" customHeight="1" x14ac:dyDescent="0.25">
      <c r="A58" s="40" t="s">
        <v>226</v>
      </c>
      <c r="B58" s="93" t="s">
        <v>702</v>
      </c>
      <c r="C58" s="69">
        <v>503460</v>
      </c>
      <c r="D58" s="69"/>
      <c r="E58" s="94" t="str">
        <f t="shared" si="2"/>
        <v>00109030503460</v>
      </c>
      <c r="F58" s="42"/>
      <c r="G58" s="34">
        <f t="shared" si="7"/>
        <v>8000</v>
      </c>
      <c r="H58" s="43"/>
      <c r="I58" s="34">
        <f t="shared" si="8"/>
        <v>8984</v>
      </c>
      <c r="J58" s="43"/>
      <c r="K58" s="45">
        <v>15000</v>
      </c>
      <c r="L58" s="43"/>
      <c r="M58" s="234">
        <v>15000</v>
      </c>
      <c r="N58" s="39"/>
      <c r="O58" s="45">
        <f t="shared" si="9"/>
        <v>15000</v>
      </c>
      <c r="P58" s="2"/>
      <c r="Q58" s="45">
        <f t="shared" si="10"/>
        <v>15000</v>
      </c>
    </row>
    <row r="59" spans="1:17" ht="15" customHeight="1" x14ac:dyDescent="0.25">
      <c r="A59" s="40" t="s">
        <v>193</v>
      </c>
      <c r="B59" s="93" t="s">
        <v>702</v>
      </c>
      <c r="C59" s="69">
        <v>503499</v>
      </c>
      <c r="D59" s="69"/>
      <c r="E59" s="94" t="str">
        <f t="shared" si="2"/>
        <v>00109030503499</v>
      </c>
      <c r="F59" s="42"/>
      <c r="G59" s="34">
        <f t="shared" si="7"/>
        <v>0</v>
      </c>
      <c r="H59" s="43"/>
      <c r="I59" s="34">
        <f t="shared" si="8"/>
        <v>0</v>
      </c>
      <c r="J59" s="43"/>
      <c r="K59" s="45">
        <v>0</v>
      </c>
      <c r="L59" s="43"/>
      <c r="M59" s="234">
        <v>0</v>
      </c>
      <c r="N59" s="39"/>
      <c r="O59" s="45">
        <f t="shared" si="9"/>
        <v>0</v>
      </c>
      <c r="P59" s="2"/>
      <c r="Q59" s="45">
        <f t="shared" si="10"/>
        <v>0</v>
      </c>
    </row>
    <row r="60" spans="1:17" ht="15" customHeight="1" x14ac:dyDescent="0.25">
      <c r="A60" s="40" t="s">
        <v>59</v>
      </c>
      <c r="B60" s="93" t="s">
        <v>702</v>
      </c>
      <c r="C60" s="69">
        <v>503901</v>
      </c>
      <c r="D60" s="69"/>
      <c r="E60" s="94" t="str">
        <f t="shared" si="2"/>
        <v>00109030503901</v>
      </c>
      <c r="F60" s="42"/>
      <c r="G60" s="34">
        <f t="shared" si="7"/>
        <v>0</v>
      </c>
      <c r="H60" s="43"/>
      <c r="I60" s="34">
        <f t="shared" si="8"/>
        <v>0</v>
      </c>
      <c r="J60" s="43"/>
      <c r="K60" s="45">
        <v>0</v>
      </c>
      <c r="L60" s="43"/>
      <c r="M60" s="234">
        <v>0</v>
      </c>
      <c r="N60" s="39"/>
      <c r="O60" s="45">
        <f t="shared" si="9"/>
        <v>0</v>
      </c>
      <c r="P60" s="2"/>
      <c r="Q60" s="45">
        <f t="shared" si="10"/>
        <v>0</v>
      </c>
    </row>
    <row r="61" spans="1:17" ht="13.15" customHeight="1" x14ac:dyDescent="0.25">
      <c r="A61" s="40" t="s">
        <v>730</v>
      </c>
      <c r="B61" s="93" t="s">
        <v>702</v>
      </c>
      <c r="C61" s="69"/>
      <c r="D61" s="69"/>
      <c r="E61" s="94" t="str">
        <f t="shared" si="2"/>
        <v>00109030</v>
      </c>
      <c r="F61" s="42"/>
      <c r="G61" s="34">
        <f t="shared" si="7"/>
        <v>0</v>
      </c>
      <c r="H61" s="43"/>
      <c r="I61" s="34">
        <f t="shared" si="8"/>
        <v>0</v>
      </c>
      <c r="J61" s="43"/>
      <c r="K61" s="45">
        <v>0</v>
      </c>
      <c r="L61" s="43"/>
      <c r="M61" s="234">
        <v>0</v>
      </c>
      <c r="N61" s="39"/>
      <c r="O61" s="45">
        <f t="shared" si="9"/>
        <v>0</v>
      </c>
      <c r="P61" s="2"/>
      <c r="Q61" s="45">
        <f t="shared" si="10"/>
        <v>0</v>
      </c>
    </row>
    <row r="62" spans="1:17" ht="13.15" customHeight="1" x14ac:dyDescent="0.25">
      <c r="A62" s="40" t="s">
        <v>60</v>
      </c>
      <c r="B62" s="93" t="s">
        <v>702</v>
      </c>
      <c r="C62" s="69"/>
      <c r="D62" s="69"/>
      <c r="E62" s="94" t="str">
        <f t="shared" si="2"/>
        <v>00109030</v>
      </c>
      <c r="F62" s="42"/>
      <c r="G62" s="34">
        <f t="shared" si="7"/>
        <v>0</v>
      </c>
      <c r="H62" s="43"/>
      <c r="I62" s="34">
        <f t="shared" si="8"/>
        <v>0</v>
      </c>
      <c r="J62" s="43"/>
      <c r="K62" s="45">
        <v>0</v>
      </c>
      <c r="L62" s="43"/>
      <c r="M62" s="234">
        <v>0</v>
      </c>
      <c r="N62" s="39"/>
      <c r="O62" s="45">
        <f t="shared" si="9"/>
        <v>0</v>
      </c>
      <c r="P62" s="2"/>
      <c r="Q62" s="45">
        <f t="shared" si="10"/>
        <v>0</v>
      </c>
    </row>
    <row r="63" spans="1:17" ht="13.15" customHeight="1" x14ac:dyDescent="0.25">
      <c r="A63" s="40" t="s">
        <v>61</v>
      </c>
      <c r="B63" s="93" t="s">
        <v>702</v>
      </c>
      <c r="C63" s="41">
        <v>504060</v>
      </c>
      <c r="D63" s="41"/>
      <c r="E63" s="94" t="str">
        <f t="shared" si="2"/>
        <v>00109030504060</v>
      </c>
      <c r="F63" s="42"/>
      <c r="G63" s="34">
        <f t="shared" si="7"/>
        <v>683</v>
      </c>
      <c r="H63" s="43"/>
      <c r="I63" s="34">
        <f t="shared" si="8"/>
        <v>1900</v>
      </c>
      <c r="J63" s="43"/>
      <c r="K63" s="45">
        <v>2400</v>
      </c>
      <c r="L63" s="43"/>
      <c r="M63" s="234">
        <v>2400</v>
      </c>
      <c r="N63" s="39"/>
      <c r="O63" s="45">
        <f t="shared" si="9"/>
        <v>2400</v>
      </c>
      <c r="P63" s="2"/>
      <c r="Q63" s="45">
        <f t="shared" si="10"/>
        <v>2400</v>
      </c>
    </row>
    <row r="64" spans="1:17" ht="13.15" customHeight="1" x14ac:dyDescent="0.25">
      <c r="A64" s="40" t="s">
        <v>62</v>
      </c>
      <c r="B64" s="93" t="s">
        <v>702</v>
      </c>
      <c r="C64" s="192">
        <v>504070</v>
      </c>
      <c r="D64" s="192"/>
      <c r="E64" s="94" t="str">
        <f t="shared" si="2"/>
        <v>00109030504070</v>
      </c>
      <c r="F64" s="42"/>
      <c r="G64" s="34">
        <f t="shared" si="7"/>
        <v>2595</v>
      </c>
      <c r="H64" s="43"/>
      <c r="I64" s="34">
        <f t="shared" si="8"/>
        <v>0</v>
      </c>
      <c r="J64" s="43"/>
      <c r="K64" s="45">
        <v>6000</v>
      </c>
      <c r="L64" s="43"/>
      <c r="M64" s="234">
        <v>6000</v>
      </c>
      <c r="N64" s="39"/>
      <c r="O64" s="45">
        <f t="shared" si="9"/>
        <v>6000</v>
      </c>
      <c r="P64" s="2"/>
      <c r="Q64" s="45">
        <f t="shared" si="10"/>
        <v>6000</v>
      </c>
    </row>
    <row r="65" spans="1:21" ht="13.15" customHeight="1" x14ac:dyDescent="0.25">
      <c r="A65" s="40" t="s">
        <v>127</v>
      </c>
      <c r="B65" s="93" t="s">
        <v>702</v>
      </c>
      <c r="C65" s="69">
        <v>504430</v>
      </c>
      <c r="D65" s="69"/>
      <c r="E65" s="94" t="str">
        <f t="shared" si="2"/>
        <v>00109030504430</v>
      </c>
      <c r="F65" s="42"/>
      <c r="G65" s="34">
        <f t="shared" si="7"/>
        <v>0</v>
      </c>
      <c r="H65" s="43"/>
      <c r="I65" s="34">
        <f t="shared" si="8"/>
        <v>2883</v>
      </c>
      <c r="J65" s="43"/>
      <c r="K65" s="45">
        <v>1200</v>
      </c>
      <c r="L65" s="43"/>
      <c r="M65" s="234">
        <v>1200</v>
      </c>
      <c r="N65" s="39"/>
      <c r="O65" s="45">
        <f t="shared" si="9"/>
        <v>1200</v>
      </c>
      <c r="P65" s="2"/>
      <c r="Q65" s="45">
        <f t="shared" si="10"/>
        <v>1200</v>
      </c>
    </row>
    <row r="66" spans="1:21" ht="13.15" customHeight="1" x14ac:dyDescent="0.25">
      <c r="A66" s="40" t="s">
        <v>128</v>
      </c>
      <c r="B66" s="93" t="s">
        <v>702</v>
      </c>
      <c r="C66" s="69">
        <v>504601</v>
      </c>
      <c r="D66" s="69"/>
      <c r="E66" s="94" t="str">
        <f t="shared" si="2"/>
        <v>00109030504601</v>
      </c>
      <c r="F66" s="42"/>
      <c r="G66" s="34">
        <f t="shared" si="7"/>
        <v>0</v>
      </c>
      <c r="H66" s="43"/>
      <c r="I66" s="34">
        <f t="shared" si="8"/>
        <v>0</v>
      </c>
      <c r="J66" s="43"/>
      <c r="K66" s="45">
        <v>0</v>
      </c>
      <c r="L66" s="43"/>
      <c r="M66" s="234">
        <v>0</v>
      </c>
      <c r="N66" s="39"/>
      <c r="O66" s="45">
        <f t="shared" si="9"/>
        <v>0</v>
      </c>
      <c r="P66" s="2"/>
      <c r="Q66" s="45">
        <f t="shared" si="10"/>
        <v>0</v>
      </c>
    </row>
    <row r="67" spans="1:21" ht="13.15" customHeight="1" x14ac:dyDescent="0.25">
      <c r="A67" s="40" t="s">
        <v>130</v>
      </c>
      <c r="B67" s="93" t="s">
        <v>702</v>
      </c>
      <c r="C67" s="69">
        <v>504602</v>
      </c>
      <c r="D67" s="69"/>
      <c r="E67" s="94" t="str">
        <f t="shared" si="2"/>
        <v>00109030504602</v>
      </c>
      <c r="F67" s="42"/>
      <c r="G67" s="34">
        <f t="shared" si="7"/>
        <v>0</v>
      </c>
      <c r="H67" s="43"/>
      <c r="I67" s="34">
        <f t="shared" si="8"/>
        <v>0</v>
      </c>
      <c r="J67" s="43"/>
      <c r="K67" s="45">
        <v>0</v>
      </c>
      <c r="L67" s="43"/>
      <c r="M67" s="234">
        <v>0</v>
      </c>
      <c r="N67" s="39"/>
      <c r="O67" s="45">
        <f t="shared" si="9"/>
        <v>0</v>
      </c>
      <c r="P67" s="2"/>
      <c r="Q67" s="45">
        <f t="shared" si="10"/>
        <v>0</v>
      </c>
    </row>
    <row r="68" spans="1:21" s="15" customFormat="1" ht="13.15" customHeight="1" x14ac:dyDescent="0.25">
      <c r="A68" s="40" t="s">
        <v>132</v>
      </c>
      <c r="B68" s="93" t="s">
        <v>702</v>
      </c>
      <c r="C68" s="69">
        <v>504610</v>
      </c>
      <c r="D68" s="69"/>
      <c r="E68" s="94" t="str">
        <f t="shared" si="2"/>
        <v>00109030504610</v>
      </c>
      <c r="F68" s="42"/>
      <c r="G68" s="34">
        <f t="shared" si="7"/>
        <v>82809</v>
      </c>
      <c r="H68" s="43"/>
      <c r="I68" s="34">
        <f t="shared" si="8"/>
        <v>97604</v>
      </c>
      <c r="J68" s="43"/>
      <c r="K68" s="126">
        <v>1000</v>
      </c>
      <c r="L68" s="43"/>
      <c r="M68" s="234">
        <v>1000</v>
      </c>
      <c r="N68" s="39"/>
      <c r="O68" s="45">
        <f t="shared" si="9"/>
        <v>1000</v>
      </c>
      <c r="Q68" s="45">
        <f t="shared" si="10"/>
        <v>1000</v>
      </c>
      <c r="R68"/>
      <c r="S68"/>
      <c r="T68"/>
      <c r="U68"/>
    </row>
    <row r="69" spans="1:21" s="15" customFormat="1" ht="13.15" customHeight="1" x14ac:dyDescent="0.25">
      <c r="A69" s="60" t="s">
        <v>731</v>
      </c>
      <c r="B69" s="93" t="s">
        <v>702</v>
      </c>
      <c r="C69" s="69"/>
      <c r="D69" s="69"/>
      <c r="E69" s="94" t="str">
        <f t="shared" si="2"/>
        <v>00109030</v>
      </c>
      <c r="F69" s="42"/>
      <c r="G69" s="34">
        <f t="shared" si="7"/>
        <v>0</v>
      </c>
      <c r="H69" s="43"/>
      <c r="I69" s="34">
        <f t="shared" si="8"/>
        <v>0</v>
      </c>
      <c r="J69" s="43"/>
      <c r="K69" s="126">
        <v>25000</v>
      </c>
      <c r="L69" s="43"/>
      <c r="M69" s="234">
        <v>25000</v>
      </c>
      <c r="N69" s="39"/>
      <c r="O69" s="45">
        <f t="shared" si="9"/>
        <v>25000</v>
      </c>
      <c r="Q69" s="45">
        <f t="shared" si="10"/>
        <v>25000</v>
      </c>
      <c r="R69"/>
      <c r="S69"/>
      <c r="T69"/>
      <c r="U69"/>
    </row>
    <row r="70" spans="1:21" s="15" customFormat="1" ht="13.15" customHeight="1" x14ac:dyDescent="0.25">
      <c r="A70" s="60" t="s">
        <v>732</v>
      </c>
      <c r="B70" s="93" t="s">
        <v>702</v>
      </c>
      <c r="C70" s="69"/>
      <c r="D70" s="69"/>
      <c r="E70" s="94" t="str">
        <f t="shared" si="2"/>
        <v>00109030</v>
      </c>
      <c r="F70" s="42"/>
      <c r="G70" s="34">
        <f t="shared" si="7"/>
        <v>0</v>
      </c>
      <c r="H70" s="43"/>
      <c r="I70" s="34">
        <f t="shared" si="8"/>
        <v>0</v>
      </c>
      <c r="J70" s="43"/>
      <c r="K70" s="126">
        <v>10000</v>
      </c>
      <c r="L70" s="43"/>
      <c r="M70" s="234">
        <v>10000</v>
      </c>
      <c r="N70" s="39"/>
      <c r="O70" s="45">
        <f t="shared" si="9"/>
        <v>10000</v>
      </c>
      <c r="Q70" s="45">
        <f t="shared" si="10"/>
        <v>10000</v>
      </c>
      <c r="R70"/>
      <c r="S70"/>
      <c r="T70"/>
      <c r="U70"/>
    </row>
    <row r="71" spans="1:21" s="15" customFormat="1" ht="13.15" customHeight="1" x14ac:dyDescent="0.25">
      <c r="A71" s="60" t="s">
        <v>733</v>
      </c>
      <c r="B71" s="93" t="s">
        <v>702</v>
      </c>
      <c r="C71" s="69"/>
      <c r="D71" s="69"/>
      <c r="E71" s="94" t="str">
        <f t="shared" si="2"/>
        <v>00109030</v>
      </c>
      <c r="F71" s="42"/>
      <c r="G71" s="34">
        <f t="shared" si="7"/>
        <v>0</v>
      </c>
      <c r="H71" s="43"/>
      <c r="I71" s="34">
        <f t="shared" si="8"/>
        <v>0</v>
      </c>
      <c r="J71" s="43"/>
      <c r="K71" s="126">
        <v>15000</v>
      </c>
      <c r="L71" s="43"/>
      <c r="M71" s="234">
        <v>15000</v>
      </c>
      <c r="N71" s="39"/>
      <c r="O71" s="45">
        <f t="shared" si="9"/>
        <v>15000</v>
      </c>
      <c r="Q71" s="45">
        <f t="shared" si="10"/>
        <v>15000</v>
      </c>
      <c r="R71"/>
      <c r="S71"/>
      <c r="T71"/>
      <c r="U71"/>
    </row>
    <row r="72" spans="1:21" s="15" customFormat="1" ht="13.15" customHeight="1" x14ac:dyDescent="0.25">
      <c r="A72" s="60" t="s">
        <v>734</v>
      </c>
      <c r="B72" s="93" t="s">
        <v>702</v>
      </c>
      <c r="C72" s="69"/>
      <c r="D72" s="69"/>
      <c r="E72" s="94" t="str">
        <f t="shared" si="2"/>
        <v>00109030</v>
      </c>
      <c r="F72" s="42"/>
      <c r="G72" s="34">
        <f t="shared" si="7"/>
        <v>0</v>
      </c>
      <c r="H72" s="43"/>
      <c r="I72" s="34">
        <f t="shared" si="8"/>
        <v>0</v>
      </c>
      <c r="J72" s="43"/>
      <c r="K72" s="126">
        <v>7000</v>
      </c>
      <c r="L72" s="43"/>
      <c r="M72" s="234">
        <v>7000</v>
      </c>
      <c r="N72" s="39"/>
      <c r="O72" s="45">
        <f t="shared" si="9"/>
        <v>7000</v>
      </c>
      <c r="Q72" s="45">
        <f t="shared" si="10"/>
        <v>7000</v>
      </c>
      <c r="R72"/>
      <c r="S72"/>
      <c r="T72"/>
      <c r="U72"/>
    </row>
    <row r="73" spans="1:21" s="15" customFormat="1" ht="13.15" customHeight="1" x14ac:dyDescent="0.25">
      <c r="A73" s="60" t="s">
        <v>735</v>
      </c>
      <c r="B73" s="93" t="s">
        <v>702</v>
      </c>
      <c r="C73" s="69"/>
      <c r="D73" s="69"/>
      <c r="E73" s="94" t="str">
        <f t="shared" si="2"/>
        <v>00109030</v>
      </c>
      <c r="F73" s="42"/>
      <c r="G73" s="34">
        <f t="shared" si="7"/>
        <v>0</v>
      </c>
      <c r="H73" s="43"/>
      <c r="I73" s="34">
        <f t="shared" si="8"/>
        <v>0</v>
      </c>
      <c r="J73" s="43"/>
      <c r="K73" s="126">
        <v>2000</v>
      </c>
      <c r="L73" s="43"/>
      <c r="M73" s="234">
        <v>2000</v>
      </c>
      <c r="N73" s="39"/>
      <c r="O73" s="45">
        <f t="shared" si="9"/>
        <v>2000</v>
      </c>
      <c r="Q73" s="45">
        <f t="shared" si="10"/>
        <v>2000</v>
      </c>
      <c r="R73"/>
      <c r="S73"/>
      <c r="T73"/>
      <c r="U73"/>
    </row>
    <row r="74" spans="1:21" s="15" customFormat="1" ht="13.15" customHeight="1" x14ac:dyDescent="0.25">
      <c r="A74" s="60" t="s">
        <v>728</v>
      </c>
      <c r="B74" s="93" t="s">
        <v>702</v>
      </c>
      <c r="C74" s="69"/>
      <c r="D74" s="69"/>
      <c r="E74" s="94" t="str">
        <f t="shared" si="2"/>
        <v>00109030</v>
      </c>
      <c r="F74" s="42"/>
      <c r="G74" s="34">
        <f t="shared" si="7"/>
        <v>0</v>
      </c>
      <c r="H74" s="43"/>
      <c r="I74" s="34">
        <f t="shared" si="8"/>
        <v>0</v>
      </c>
      <c r="J74" s="43"/>
      <c r="K74" s="126">
        <v>20000</v>
      </c>
      <c r="L74" s="43"/>
      <c r="M74" s="234">
        <v>20000</v>
      </c>
      <c r="N74" s="39"/>
      <c r="O74" s="45">
        <f t="shared" si="9"/>
        <v>20000</v>
      </c>
      <c r="Q74" s="45">
        <f t="shared" si="10"/>
        <v>20000</v>
      </c>
      <c r="R74"/>
      <c r="S74"/>
      <c r="T74"/>
      <c r="U74"/>
    </row>
    <row r="75" spans="1:21" s="15" customFormat="1" ht="13.15" customHeight="1" x14ac:dyDescent="0.25">
      <c r="A75" s="60" t="s">
        <v>736</v>
      </c>
      <c r="B75" s="93" t="s">
        <v>702</v>
      </c>
      <c r="C75" s="69"/>
      <c r="D75" s="69"/>
      <c r="E75" s="94" t="str">
        <f t="shared" si="2"/>
        <v>00109030</v>
      </c>
      <c r="F75" s="42"/>
      <c r="G75" s="34">
        <f t="shared" si="7"/>
        <v>0</v>
      </c>
      <c r="H75" s="43"/>
      <c r="I75" s="34">
        <f t="shared" si="8"/>
        <v>0</v>
      </c>
      <c r="J75" s="43"/>
      <c r="K75" s="126">
        <v>6000</v>
      </c>
      <c r="L75" s="43"/>
      <c r="M75" s="234">
        <v>6000</v>
      </c>
      <c r="N75" s="39"/>
      <c r="O75" s="45">
        <f t="shared" si="9"/>
        <v>6000</v>
      </c>
      <c r="Q75" s="45">
        <f t="shared" si="10"/>
        <v>6000</v>
      </c>
      <c r="R75"/>
      <c r="S75"/>
      <c r="T75"/>
      <c r="U75"/>
    </row>
    <row r="76" spans="1:21" ht="13.15" customHeight="1" x14ac:dyDescent="0.25">
      <c r="A76" s="40" t="s">
        <v>534</v>
      </c>
      <c r="B76" s="93" t="s">
        <v>702</v>
      </c>
      <c r="C76" s="69">
        <v>504615</v>
      </c>
      <c r="D76" s="69"/>
      <c r="E76" s="94" t="str">
        <f t="shared" si="2"/>
        <v>00109030504615</v>
      </c>
      <c r="F76" s="42"/>
      <c r="G76" s="34">
        <f t="shared" si="7"/>
        <v>145559</v>
      </c>
      <c r="H76" s="43"/>
      <c r="I76" s="34">
        <f t="shared" si="8"/>
        <v>193949</v>
      </c>
      <c r="J76" s="43"/>
      <c r="K76" s="45">
        <v>0</v>
      </c>
      <c r="L76" s="43"/>
      <c r="M76" s="234">
        <v>0</v>
      </c>
      <c r="N76" s="39"/>
      <c r="O76" s="45">
        <f t="shared" si="9"/>
        <v>0</v>
      </c>
      <c r="P76" s="2"/>
      <c r="Q76" s="45">
        <f t="shared" si="10"/>
        <v>0</v>
      </c>
    </row>
    <row r="77" spans="1:21" ht="13.15" customHeight="1" x14ac:dyDescent="0.25">
      <c r="A77" s="60" t="s">
        <v>727</v>
      </c>
      <c r="B77" s="93" t="s">
        <v>702</v>
      </c>
      <c r="C77" s="69">
        <v>504615</v>
      </c>
      <c r="D77" s="69">
        <v>22025</v>
      </c>
      <c r="E77" s="94" t="str">
        <f t="shared" si="2"/>
        <v>0010903050461522025</v>
      </c>
      <c r="F77" s="42"/>
      <c r="G77" s="34">
        <f t="shared" si="7"/>
        <v>4652</v>
      </c>
      <c r="H77" s="43"/>
      <c r="I77" s="34">
        <f t="shared" si="8"/>
        <v>0</v>
      </c>
      <c r="J77" s="43"/>
      <c r="K77" s="45">
        <v>0</v>
      </c>
      <c r="L77" s="43"/>
      <c r="M77" s="234">
        <v>0</v>
      </c>
      <c r="N77" s="39"/>
      <c r="O77" s="45">
        <f t="shared" si="9"/>
        <v>0</v>
      </c>
      <c r="P77" s="2"/>
      <c r="Q77" s="45">
        <f t="shared" si="10"/>
        <v>0</v>
      </c>
    </row>
    <row r="78" spans="1:21" ht="13.15" customHeight="1" x14ac:dyDescent="0.25">
      <c r="A78" s="60" t="s">
        <v>737</v>
      </c>
      <c r="B78" s="93" t="s">
        <v>702</v>
      </c>
      <c r="C78" s="69"/>
      <c r="D78" s="69"/>
      <c r="E78" s="94" t="str">
        <f t="shared" si="2"/>
        <v>00109030</v>
      </c>
      <c r="F78" s="42"/>
      <c r="G78" s="34">
        <f t="shared" si="7"/>
        <v>0</v>
      </c>
      <c r="H78" s="43"/>
      <c r="I78" s="34">
        <f t="shared" si="8"/>
        <v>0</v>
      </c>
      <c r="J78" s="43"/>
      <c r="K78" s="45">
        <v>50000</v>
      </c>
      <c r="L78" s="43"/>
      <c r="M78" s="234">
        <v>50000</v>
      </c>
      <c r="N78" s="39"/>
      <c r="O78" s="45">
        <f t="shared" si="9"/>
        <v>50000</v>
      </c>
      <c r="P78" s="2"/>
      <c r="Q78" s="45">
        <f t="shared" si="10"/>
        <v>50000</v>
      </c>
    </row>
    <row r="79" spans="1:21" ht="13.15" customHeight="1" x14ac:dyDescent="0.25">
      <c r="A79" s="60" t="s">
        <v>738</v>
      </c>
      <c r="B79" s="93" t="s">
        <v>702</v>
      </c>
      <c r="C79" s="69"/>
      <c r="D79" s="69"/>
      <c r="E79" s="94" t="str">
        <f t="shared" ref="E79:E106" si="11">_xlfn.CONCAT(B79,C79,D79)</f>
        <v>00109030</v>
      </c>
      <c r="F79" s="42"/>
      <c r="G79" s="34">
        <f t="shared" si="7"/>
        <v>0</v>
      </c>
      <c r="H79" s="43"/>
      <c r="I79" s="34">
        <f t="shared" si="8"/>
        <v>0</v>
      </c>
      <c r="J79" s="43"/>
      <c r="K79" s="45">
        <v>5000</v>
      </c>
      <c r="L79" s="43"/>
      <c r="M79" s="234">
        <v>5000</v>
      </c>
      <c r="N79" s="39"/>
      <c r="O79" s="45">
        <f t="shared" si="9"/>
        <v>5000</v>
      </c>
      <c r="P79" s="2"/>
      <c r="Q79" s="45">
        <f t="shared" si="10"/>
        <v>5000</v>
      </c>
    </row>
    <row r="80" spans="1:21" ht="13.15" customHeight="1" x14ac:dyDescent="0.25">
      <c r="A80" s="60" t="s">
        <v>739</v>
      </c>
      <c r="B80" s="93" t="s">
        <v>702</v>
      </c>
      <c r="C80" s="69"/>
      <c r="D80" s="69"/>
      <c r="E80" s="94" t="str">
        <f t="shared" si="11"/>
        <v>00109030</v>
      </c>
      <c r="F80" s="42"/>
      <c r="G80" s="34">
        <f t="shared" si="7"/>
        <v>0</v>
      </c>
      <c r="H80" s="43"/>
      <c r="I80" s="34">
        <f t="shared" si="8"/>
        <v>0</v>
      </c>
      <c r="J80" s="43"/>
      <c r="K80" s="45">
        <v>20000</v>
      </c>
      <c r="L80" s="43"/>
      <c r="M80" s="234">
        <v>20000</v>
      </c>
      <c r="N80" s="39"/>
      <c r="O80" s="45">
        <f t="shared" si="9"/>
        <v>20000</v>
      </c>
      <c r="P80" s="2"/>
      <c r="Q80" s="45">
        <f t="shared" si="10"/>
        <v>20000</v>
      </c>
    </row>
    <row r="81" spans="1:17" ht="13.15" customHeight="1" x14ac:dyDescent="0.25">
      <c r="A81" s="60" t="s">
        <v>740</v>
      </c>
      <c r="B81" s="93" t="s">
        <v>702</v>
      </c>
      <c r="C81" s="69"/>
      <c r="D81" s="69"/>
      <c r="E81" s="94" t="str">
        <f t="shared" si="11"/>
        <v>00109030</v>
      </c>
      <c r="F81" s="42"/>
      <c r="G81" s="34">
        <f t="shared" si="7"/>
        <v>0</v>
      </c>
      <c r="H81" s="43"/>
      <c r="I81" s="34">
        <f t="shared" si="8"/>
        <v>0</v>
      </c>
      <c r="J81" s="43"/>
      <c r="K81" s="45">
        <v>12500</v>
      </c>
      <c r="L81" s="43"/>
      <c r="M81" s="234">
        <v>12500</v>
      </c>
      <c r="N81" s="39"/>
      <c r="O81" s="45">
        <f t="shared" si="9"/>
        <v>12500</v>
      </c>
      <c r="P81" s="2"/>
      <c r="Q81" s="45">
        <f t="shared" si="10"/>
        <v>12500</v>
      </c>
    </row>
    <row r="82" spans="1:17" ht="13.15" customHeight="1" x14ac:dyDescent="0.25">
      <c r="A82" s="60" t="s">
        <v>741</v>
      </c>
      <c r="B82" s="93" t="s">
        <v>702</v>
      </c>
      <c r="C82" s="69"/>
      <c r="D82" s="69"/>
      <c r="E82" s="94" t="str">
        <f t="shared" si="11"/>
        <v>00109030</v>
      </c>
      <c r="F82" s="42"/>
      <c r="G82" s="34">
        <f t="shared" si="7"/>
        <v>0</v>
      </c>
      <c r="H82" s="43"/>
      <c r="I82" s="34">
        <f t="shared" si="8"/>
        <v>0</v>
      </c>
      <c r="J82" s="43"/>
      <c r="K82" s="45">
        <v>20000</v>
      </c>
      <c r="L82" s="43"/>
      <c r="M82" s="234">
        <v>20000</v>
      </c>
      <c r="N82" s="39"/>
      <c r="O82" s="45">
        <f t="shared" si="9"/>
        <v>20000</v>
      </c>
      <c r="P82" s="2"/>
      <c r="Q82" s="45">
        <f t="shared" si="10"/>
        <v>20000</v>
      </c>
    </row>
    <row r="83" spans="1:17" ht="13.15" customHeight="1" x14ac:dyDescent="0.25">
      <c r="A83" s="60" t="s">
        <v>742</v>
      </c>
      <c r="B83" s="93" t="s">
        <v>702</v>
      </c>
      <c r="C83" s="69"/>
      <c r="D83" s="69"/>
      <c r="E83" s="94" t="str">
        <f t="shared" si="11"/>
        <v>00109030</v>
      </c>
      <c r="F83" s="42"/>
      <c r="G83" s="34">
        <f t="shared" si="7"/>
        <v>0</v>
      </c>
      <c r="H83" s="43"/>
      <c r="I83" s="34">
        <f t="shared" si="8"/>
        <v>0</v>
      </c>
      <c r="J83" s="43"/>
      <c r="K83" s="45">
        <v>34000</v>
      </c>
      <c r="L83" s="43"/>
      <c r="M83" s="234">
        <v>34000</v>
      </c>
      <c r="N83" s="39"/>
      <c r="O83" s="45">
        <f t="shared" si="9"/>
        <v>34000</v>
      </c>
      <c r="P83" s="2"/>
      <c r="Q83" s="45">
        <f t="shared" si="10"/>
        <v>34000</v>
      </c>
    </row>
    <row r="84" spans="1:17" ht="13.15" customHeight="1" x14ac:dyDescent="0.25">
      <c r="A84" s="60" t="s">
        <v>743</v>
      </c>
      <c r="B84" s="93" t="s">
        <v>702</v>
      </c>
      <c r="C84" s="69"/>
      <c r="D84" s="69"/>
      <c r="E84" s="94" t="str">
        <f t="shared" si="11"/>
        <v>00109030</v>
      </c>
      <c r="F84" s="42"/>
      <c r="G84" s="34">
        <f t="shared" si="7"/>
        <v>0</v>
      </c>
      <c r="H84" s="43"/>
      <c r="I84" s="34">
        <f t="shared" si="8"/>
        <v>0</v>
      </c>
      <c r="J84" s="43"/>
      <c r="K84" s="45">
        <v>48000</v>
      </c>
      <c r="L84" s="43"/>
      <c r="M84" s="234">
        <v>48000</v>
      </c>
      <c r="N84" s="39"/>
      <c r="O84" s="45">
        <f t="shared" si="9"/>
        <v>48000</v>
      </c>
      <c r="P84" s="2"/>
      <c r="Q84" s="45">
        <f t="shared" si="10"/>
        <v>48000</v>
      </c>
    </row>
    <row r="85" spans="1:17" ht="13.15" customHeight="1" x14ac:dyDescent="0.25">
      <c r="A85" s="40" t="s">
        <v>135</v>
      </c>
      <c r="B85" s="93" t="s">
        <v>702</v>
      </c>
      <c r="C85" s="69">
        <v>504620</v>
      </c>
      <c r="D85" s="69"/>
      <c r="E85" s="94" t="str">
        <f t="shared" si="11"/>
        <v>00109030504620</v>
      </c>
      <c r="F85" s="42"/>
      <c r="G85" s="34">
        <f t="shared" si="7"/>
        <v>4240</v>
      </c>
      <c r="H85" s="43"/>
      <c r="I85" s="34">
        <f t="shared" si="8"/>
        <v>12919</v>
      </c>
      <c r="J85" s="43"/>
      <c r="K85" s="45">
        <v>6500</v>
      </c>
      <c r="L85" s="43"/>
      <c r="M85" s="234">
        <v>6500</v>
      </c>
      <c r="N85" s="39"/>
      <c r="O85" s="45">
        <f t="shared" si="9"/>
        <v>6500</v>
      </c>
      <c r="P85" s="2"/>
      <c r="Q85" s="45">
        <f t="shared" si="10"/>
        <v>6500</v>
      </c>
    </row>
    <row r="86" spans="1:17" ht="15" customHeight="1" x14ac:dyDescent="0.25">
      <c r="A86" s="40" t="s">
        <v>139</v>
      </c>
      <c r="B86" s="93" t="s">
        <v>702</v>
      </c>
      <c r="C86" s="69">
        <v>504675</v>
      </c>
      <c r="D86" s="69"/>
      <c r="E86" s="94" t="str">
        <f t="shared" si="11"/>
        <v>00109030504675</v>
      </c>
      <c r="F86" s="42"/>
      <c r="G86" s="34">
        <f t="shared" si="7"/>
        <v>0</v>
      </c>
      <c r="H86" s="43"/>
      <c r="I86" s="34">
        <f t="shared" si="8"/>
        <v>0</v>
      </c>
      <c r="J86" s="43"/>
      <c r="K86" s="45">
        <v>0</v>
      </c>
      <c r="L86" s="43"/>
      <c r="M86" s="234">
        <v>0</v>
      </c>
      <c r="N86" s="39"/>
      <c r="O86" s="45">
        <f t="shared" si="9"/>
        <v>0</v>
      </c>
      <c r="P86" s="2"/>
      <c r="Q86" s="45">
        <f t="shared" si="10"/>
        <v>0</v>
      </c>
    </row>
    <row r="87" spans="1:17" ht="13.15" customHeight="1" x14ac:dyDescent="0.25">
      <c r="A87" s="40" t="s">
        <v>194</v>
      </c>
      <c r="B87" s="93" t="s">
        <v>702</v>
      </c>
      <c r="C87" s="69">
        <v>504710</v>
      </c>
      <c r="D87" s="69"/>
      <c r="E87" s="94" t="str">
        <f t="shared" si="11"/>
        <v>00109030504710</v>
      </c>
      <c r="F87" s="42"/>
      <c r="G87" s="34">
        <f t="shared" si="7"/>
        <v>127</v>
      </c>
      <c r="H87" s="43"/>
      <c r="I87" s="34">
        <f t="shared" si="8"/>
        <v>147</v>
      </c>
      <c r="J87" s="43"/>
      <c r="K87" s="45">
        <v>1400</v>
      </c>
      <c r="L87" s="43"/>
      <c r="M87" s="234">
        <v>1400</v>
      </c>
      <c r="N87" s="39"/>
      <c r="O87" s="45">
        <f t="shared" si="9"/>
        <v>1400</v>
      </c>
      <c r="P87" s="2"/>
      <c r="Q87" s="45">
        <f t="shared" si="10"/>
        <v>1400</v>
      </c>
    </row>
    <row r="88" spans="1:17" ht="15" customHeight="1" x14ac:dyDescent="0.25">
      <c r="A88" s="40" t="s">
        <v>68</v>
      </c>
      <c r="B88" s="93" t="s">
        <v>702</v>
      </c>
      <c r="C88" s="69">
        <v>505101</v>
      </c>
      <c r="D88" s="69"/>
      <c r="E88" s="94" t="str">
        <f t="shared" si="11"/>
        <v>00109030505101</v>
      </c>
      <c r="F88" s="42"/>
      <c r="G88" s="34">
        <f t="shared" si="7"/>
        <v>0</v>
      </c>
      <c r="H88" s="43"/>
      <c r="I88" s="34">
        <f t="shared" si="8"/>
        <v>0</v>
      </c>
      <c r="J88" s="43"/>
      <c r="K88" s="45">
        <v>0</v>
      </c>
      <c r="L88" s="43"/>
      <c r="M88" s="234">
        <v>0</v>
      </c>
      <c r="N88" s="39"/>
      <c r="O88" s="45">
        <f t="shared" si="9"/>
        <v>0</v>
      </c>
      <c r="P88" s="2"/>
      <c r="Q88" s="45">
        <f t="shared" si="10"/>
        <v>0</v>
      </c>
    </row>
    <row r="89" spans="1:17" ht="13.15" customHeight="1" x14ac:dyDescent="0.25">
      <c r="A89" s="40" t="s">
        <v>69</v>
      </c>
      <c r="B89" s="93" t="s">
        <v>702</v>
      </c>
      <c r="C89" s="69">
        <v>505201</v>
      </c>
      <c r="D89" s="69"/>
      <c r="E89" s="94" t="str">
        <f t="shared" si="11"/>
        <v>00109030505201</v>
      </c>
      <c r="F89" s="42"/>
      <c r="G89" s="34">
        <f t="shared" si="7"/>
        <v>5950</v>
      </c>
      <c r="H89" s="43"/>
      <c r="I89" s="34">
        <f t="shared" si="8"/>
        <v>3972</v>
      </c>
      <c r="J89" s="43"/>
      <c r="K89" s="45">
        <v>5000</v>
      </c>
      <c r="L89" s="43"/>
      <c r="M89" s="234">
        <v>5000</v>
      </c>
      <c r="N89" s="39"/>
      <c r="O89" s="45">
        <f t="shared" si="9"/>
        <v>5000</v>
      </c>
      <c r="P89" s="2"/>
      <c r="Q89" s="45">
        <f t="shared" si="10"/>
        <v>5000</v>
      </c>
    </row>
    <row r="90" spans="1:17" ht="15" customHeight="1" x14ac:dyDescent="0.25">
      <c r="A90" s="99" t="s">
        <v>351</v>
      </c>
      <c r="B90" s="93" t="s">
        <v>702</v>
      </c>
      <c r="C90" s="69"/>
      <c r="D90" s="69"/>
      <c r="E90" s="94" t="str">
        <f t="shared" si="11"/>
        <v>00109030</v>
      </c>
      <c r="F90" s="42"/>
      <c r="G90" s="34">
        <f t="shared" si="7"/>
        <v>0</v>
      </c>
      <c r="H90" s="43"/>
      <c r="I90" s="34">
        <f t="shared" si="8"/>
        <v>0</v>
      </c>
      <c r="J90" s="43"/>
      <c r="K90" s="45"/>
      <c r="L90" s="43"/>
      <c r="M90" s="234"/>
      <c r="N90" s="39"/>
      <c r="O90" s="45"/>
      <c r="P90" s="2"/>
      <c r="Q90" s="45"/>
    </row>
    <row r="91" spans="1:17" ht="13.15" customHeight="1" x14ac:dyDescent="0.25">
      <c r="A91" s="40" t="s">
        <v>236</v>
      </c>
      <c r="B91" s="93" t="s">
        <v>702</v>
      </c>
      <c r="C91" s="69">
        <v>505220</v>
      </c>
      <c r="D91" s="69"/>
      <c r="E91" s="94" t="str">
        <f t="shared" si="11"/>
        <v>00109030505220</v>
      </c>
      <c r="F91" s="42"/>
      <c r="G91" s="34">
        <f t="shared" si="7"/>
        <v>69332</v>
      </c>
      <c r="H91" s="43"/>
      <c r="I91" s="34">
        <f t="shared" si="8"/>
        <v>53089</v>
      </c>
      <c r="J91" s="43"/>
      <c r="K91" s="45">
        <v>0</v>
      </c>
      <c r="L91" s="43"/>
      <c r="M91" s="234">
        <v>0</v>
      </c>
      <c r="N91" s="43"/>
      <c r="O91" s="45">
        <f t="shared" si="9"/>
        <v>0</v>
      </c>
      <c r="P91" s="43"/>
      <c r="Q91" s="45">
        <f t="shared" si="10"/>
        <v>0</v>
      </c>
    </row>
    <row r="92" spans="1:17" ht="13.15" customHeight="1" x14ac:dyDescent="0.25">
      <c r="A92" s="60" t="s">
        <v>744</v>
      </c>
      <c r="B92" s="93" t="s">
        <v>702</v>
      </c>
      <c r="C92" s="69"/>
      <c r="D92" s="69"/>
      <c r="E92" s="94" t="str">
        <f t="shared" si="11"/>
        <v>00109030</v>
      </c>
      <c r="F92" s="42"/>
      <c r="G92" s="34">
        <f t="shared" si="7"/>
        <v>0</v>
      </c>
      <c r="H92" s="43"/>
      <c r="I92" s="34">
        <f t="shared" si="8"/>
        <v>0</v>
      </c>
      <c r="J92" s="43"/>
      <c r="K92" s="45">
        <v>33600</v>
      </c>
      <c r="L92" s="43"/>
      <c r="M92" s="234">
        <v>33600</v>
      </c>
      <c r="N92" s="39"/>
      <c r="O92" s="45">
        <f t="shared" si="9"/>
        <v>33600</v>
      </c>
      <c r="P92" s="2"/>
      <c r="Q92" s="45">
        <f t="shared" si="10"/>
        <v>33600</v>
      </c>
    </row>
    <row r="93" spans="1:17" ht="13.15" customHeight="1" x14ac:dyDescent="0.25">
      <c r="A93" s="60" t="s">
        <v>745</v>
      </c>
      <c r="B93" s="93" t="s">
        <v>702</v>
      </c>
      <c r="C93" s="69"/>
      <c r="D93" s="69"/>
      <c r="E93" s="94" t="str">
        <f t="shared" si="11"/>
        <v>00109030</v>
      </c>
      <c r="F93" s="42"/>
      <c r="G93" s="34">
        <f t="shared" si="7"/>
        <v>0</v>
      </c>
      <c r="H93" s="43"/>
      <c r="I93" s="34">
        <f t="shared" si="8"/>
        <v>0</v>
      </c>
      <c r="J93" s="43"/>
      <c r="K93" s="45">
        <v>33600</v>
      </c>
      <c r="L93" s="43"/>
      <c r="M93" s="234">
        <v>33600</v>
      </c>
      <c r="N93" s="39"/>
      <c r="O93" s="45">
        <f t="shared" si="9"/>
        <v>33600</v>
      </c>
      <c r="P93" s="2"/>
      <c r="Q93" s="45">
        <f t="shared" si="10"/>
        <v>33600</v>
      </c>
    </row>
    <row r="94" spans="1:17" ht="13.15" customHeight="1" x14ac:dyDescent="0.25">
      <c r="A94" s="40" t="s">
        <v>538</v>
      </c>
      <c r="B94" s="93" t="s">
        <v>702</v>
      </c>
      <c r="C94" s="69">
        <v>505285</v>
      </c>
      <c r="D94" s="69"/>
      <c r="E94" s="94" t="str">
        <f t="shared" si="11"/>
        <v>00109030505285</v>
      </c>
      <c r="F94" s="42"/>
      <c r="G94" s="34">
        <f t="shared" si="7"/>
        <v>12338</v>
      </c>
      <c r="H94" s="43"/>
      <c r="I94" s="34">
        <f t="shared" si="8"/>
        <v>6484</v>
      </c>
      <c r="J94" s="43"/>
      <c r="K94" s="45">
        <v>10000</v>
      </c>
      <c r="L94" s="43"/>
      <c r="M94" s="234">
        <v>10000</v>
      </c>
      <c r="N94" s="39"/>
      <c r="O94" s="45">
        <f t="shared" si="9"/>
        <v>10000</v>
      </c>
      <c r="P94" s="2"/>
      <c r="Q94" s="45">
        <f t="shared" si="10"/>
        <v>10000</v>
      </c>
    </row>
    <row r="95" spans="1:17" ht="13.15" customHeight="1" x14ac:dyDescent="0.25">
      <c r="A95" s="40" t="s">
        <v>71</v>
      </c>
      <c r="B95" s="93" t="s">
        <v>702</v>
      </c>
      <c r="C95" s="69">
        <v>505401</v>
      </c>
      <c r="D95" s="69"/>
      <c r="E95" s="94" t="str">
        <f t="shared" si="11"/>
        <v>00109030505401</v>
      </c>
      <c r="F95" s="42"/>
      <c r="G95" s="34">
        <f t="shared" si="7"/>
        <v>580</v>
      </c>
      <c r="H95" s="43"/>
      <c r="I95" s="34">
        <f t="shared" si="8"/>
        <v>314</v>
      </c>
      <c r="J95" s="43"/>
      <c r="K95" s="45">
        <v>800</v>
      </c>
      <c r="L95" s="43"/>
      <c r="M95" s="234">
        <v>800</v>
      </c>
      <c r="N95" s="39"/>
      <c r="O95" s="45">
        <f t="shared" si="9"/>
        <v>800</v>
      </c>
      <c r="P95" s="2"/>
      <c r="Q95" s="45">
        <f t="shared" si="10"/>
        <v>800</v>
      </c>
    </row>
    <row r="96" spans="1:17" ht="15" customHeight="1" x14ac:dyDescent="0.25">
      <c r="A96" s="40" t="s">
        <v>368</v>
      </c>
      <c r="B96" s="93" t="s">
        <v>702</v>
      </c>
      <c r="C96" s="69"/>
      <c r="D96" s="69"/>
      <c r="E96" s="94" t="str">
        <f t="shared" si="11"/>
        <v>00109030</v>
      </c>
      <c r="F96" s="42"/>
      <c r="G96" s="34">
        <f t="shared" si="7"/>
        <v>0</v>
      </c>
      <c r="H96" s="43"/>
      <c r="I96" s="34">
        <f t="shared" si="8"/>
        <v>0</v>
      </c>
      <c r="J96" s="43"/>
      <c r="K96" s="45">
        <v>0</v>
      </c>
      <c r="L96" s="43"/>
      <c r="M96" s="234">
        <v>0</v>
      </c>
      <c r="N96" s="39"/>
      <c r="O96" s="45">
        <f t="shared" si="9"/>
        <v>0</v>
      </c>
      <c r="P96" s="2"/>
      <c r="Q96" s="45">
        <f t="shared" si="10"/>
        <v>0</v>
      </c>
    </row>
    <row r="97" spans="1:17" ht="13.15" customHeight="1" x14ac:dyDescent="0.25">
      <c r="A97" s="40" t="s">
        <v>143</v>
      </c>
      <c r="B97" s="93" t="s">
        <v>702</v>
      </c>
      <c r="C97" s="69">
        <v>505505</v>
      </c>
      <c r="D97" s="69"/>
      <c r="E97" s="94" t="str">
        <f t="shared" si="11"/>
        <v>00109030505505</v>
      </c>
      <c r="F97" s="42"/>
      <c r="G97" s="34">
        <f t="shared" si="7"/>
        <v>18102</v>
      </c>
      <c r="H97" s="43"/>
      <c r="I97" s="34">
        <f t="shared" si="8"/>
        <v>16457</v>
      </c>
      <c r="J97" s="43"/>
      <c r="K97" s="45">
        <v>18500</v>
      </c>
      <c r="L97" s="43"/>
      <c r="M97" s="234">
        <v>18500</v>
      </c>
      <c r="N97" s="39"/>
      <c r="O97" s="45">
        <f t="shared" si="9"/>
        <v>18500</v>
      </c>
      <c r="P97" s="2"/>
      <c r="Q97" s="45">
        <f t="shared" si="10"/>
        <v>18500</v>
      </c>
    </row>
    <row r="98" spans="1:17" ht="13.15" customHeight="1" x14ac:dyDescent="0.25">
      <c r="A98" s="40" t="s">
        <v>144</v>
      </c>
      <c r="B98" s="93" t="s">
        <v>702</v>
      </c>
      <c r="C98" s="69">
        <v>505532</v>
      </c>
      <c r="D98" s="69"/>
      <c r="E98" s="94" t="str">
        <f t="shared" si="11"/>
        <v>00109030505532</v>
      </c>
      <c r="F98" s="42"/>
      <c r="G98" s="34">
        <f t="shared" si="7"/>
        <v>5813</v>
      </c>
      <c r="H98" s="43"/>
      <c r="I98" s="34">
        <f t="shared" si="8"/>
        <v>7207</v>
      </c>
      <c r="J98" s="43"/>
      <c r="K98" s="45">
        <v>8390</v>
      </c>
      <c r="L98" s="43"/>
      <c r="M98" s="234">
        <v>8390</v>
      </c>
      <c r="N98" s="39"/>
      <c r="O98" s="45">
        <f t="shared" si="9"/>
        <v>8390</v>
      </c>
      <c r="P98" s="2"/>
      <c r="Q98" s="45">
        <f t="shared" si="10"/>
        <v>8390</v>
      </c>
    </row>
    <row r="99" spans="1:17" ht="13.15" customHeight="1" x14ac:dyDescent="0.25">
      <c r="A99" s="40" t="s">
        <v>145</v>
      </c>
      <c r="B99" s="93" t="s">
        <v>702</v>
      </c>
      <c r="C99" s="69">
        <v>505540</v>
      </c>
      <c r="D99" s="69"/>
      <c r="E99" s="94" t="str">
        <f t="shared" si="11"/>
        <v>00109030505540</v>
      </c>
      <c r="F99" s="42"/>
      <c r="G99" s="34">
        <f t="shared" si="7"/>
        <v>7830</v>
      </c>
      <c r="H99" s="43"/>
      <c r="I99" s="34">
        <f t="shared" si="8"/>
        <v>3200</v>
      </c>
      <c r="J99" s="43"/>
      <c r="K99" s="45">
        <v>7375</v>
      </c>
      <c r="L99" s="43"/>
      <c r="M99" s="234">
        <v>7375</v>
      </c>
      <c r="N99" s="39"/>
      <c r="O99" s="45">
        <f t="shared" si="9"/>
        <v>7375</v>
      </c>
      <c r="P99" s="2"/>
      <c r="Q99" s="45">
        <f t="shared" si="10"/>
        <v>7375</v>
      </c>
    </row>
    <row r="100" spans="1:17" ht="13.15" customHeight="1" x14ac:dyDescent="0.25">
      <c r="A100" s="40" t="s">
        <v>72</v>
      </c>
      <c r="B100" s="93" t="s">
        <v>702</v>
      </c>
      <c r="C100" s="41">
        <v>505550</v>
      </c>
      <c r="D100" s="41"/>
      <c r="E100" s="94" t="str">
        <f t="shared" si="11"/>
        <v>00109030505550</v>
      </c>
      <c r="F100" s="67"/>
      <c r="G100" s="34">
        <f t="shared" si="7"/>
        <v>3769</v>
      </c>
      <c r="H100" s="67"/>
      <c r="I100" s="34">
        <f t="shared" si="8"/>
        <v>768</v>
      </c>
      <c r="J100" s="67"/>
      <c r="K100" s="67">
        <v>9100</v>
      </c>
      <c r="L100" s="67"/>
      <c r="M100" s="240">
        <v>9100</v>
      </c>
      <c r="N100" s="96"/>
      <c r="O100" s="45">
        <f t="shared" si="9"/>
        <v>9100</v>
      </c>
      <c r="P100" s="2"/>
      <c r="Q100" s="45">
        <f t="shared" si="10"/>
        <v>9100</v>
      </c>
    </row>
    <row r="101" spans="1:17" ht="15" customHeight="1" x14ac:dyDescent="0.25">
      <c r="A101" s="40" t="s">
        <v>146</v>
      </c>
      <c r="B101" s="93" t="s">
        <v>702</v>
      </c>
      <c r="C101" s="69">
        <v>505602</v>
      </c>
      <c r="D101" s="69"/>
      <c r="E101" s="94" t="str">
        <f t="shared" si="11"/>
        <v>00109030505602</v>
      </c>
      <c r="F101" s="42"/>
      <c r="G101" s="34">
        <f t="shared" si="7"/>
        <v>0</v>
      </c>
      <c r="H101" s="43"/>
      <c r="I101" s="34">
        <f t="shared" si="8"/>
        <v>0</v>
      </c>
      <c r="J101" s="43"/>
      <c r="K101" s="45">
        <v>0</v>
      </c>
      <c r="L101" s="43"/>
      <c r="M101" s="234">
        <v>0</v>
      </c>
      <c r="N101" s="39"/>
      <c r="O101" s="45">
        <f t="shared" si="9"/>
        <v>0</v>
      </c>
      <c r="P101" s="2"/>
      <c r="Q101" s="45">
        <f t="shared" si="10"/>
        <v>0</v>
      </c>
    </row>
    <row r="102" spans="1:17" ht="13.15" customHeight="1" x14ac:dyDescent="0.25">
      <c r="A102" s="40" t="s">
        <v>369</v>
      </c>
      <c r="B102" s="93" t="s">
        <v>702</v>
      </c>
      <c r="C102" s="69">
        <v>505701</v>
      </c>
      <c r="D102" s="69"/>
      <c r="E102" s="94" t="str">
        <f t="shared" si="11"/>
        <v>00109030505701</v>
      </c>
      <c r="F102" s="42"/>
      <c r="G102" s="34">
        <f>ROUND(IFERROR(VLOOKUP(_xlfn.CONCAT($B102,$C102,$D102),$A$117:$C$9996,3,FALSE),0),0)-1</f>
        <v>11241</v>
      </c>
      <c r="H102" s="43"/>
      <c r="I102" s="34">
        <f t="shared" si="8"/>
        <v>9411</v>
      </c>
      <c r="J102" s="43"/>
      <c r="K102" s="45">
        <v>12000</v>
      </c>
      <c r="L102" s="43"/>
      <c r="M102" s="234">
        <v>12000</v>
      </c>
      <c r="N102" s="39"/>
      <c r="O102" s="45">
        <f t="shared" si="9"/>
        <v>12000</v>
      </c>
      <c r="P102" s="2"/>
      <c r="Q102" s="45">
        <f t="shared" si="10"/>
        <v>12000</v>
      </c>
    </row>
    <row r="103" spans="1:17" ht="15" customHeight="1" x14ac:dyDescent="0.25">
      <c r="A103" s="40" t="s">
        <v>370</v>
      </c>
      <c r="B103" s="93" t="s">
        <v>702</v>
      </c>
      <c r="C103" s="69">
        <v>505710</v>
      </c>
      <c r="D103" s="69"/>
      <c r="E103" s="94" t="str">
        <f t="shared" si="11"/>
        <v>00109030505710</v>
      </c>
      <c r="F103" s="42"/>
      <c r="G103" s="34">
        <f>ROUND(IFERROR(VLOOKUP(_xlfn.CONCAT($B103,$C103,$D103),$A$117:$C$9996,3,FALSE),0),0)</f>
        <v>0</v>
      </c>
      <c r="H103" s="43"/>
      <c r="I103" s="34">
        <f t="shared" si="8"/>
        <v>0</v>
      </c>
      <c r="J103" s="43"/>
      <c r="K103" s="45">
        <v>0</v>
      </c>
      <c r="L103" s="43"/>
      <c r="M103" s="234">
        <v>0</v>
      </c>
      <c r="N103" s="39"/>
      <c r="O103" s="45">
        <f t="shared" si="9"/>
        <v>0</v>
      </c>
      <c r="P103" s="2"/>
      <c r="Q103" s="45">
        <f t="shared" si="10"/>
        <v>0</v>
      </c>
    </row>
    <row r="104" spans="1:17" ht="15" customHeight="1" x14ac:dyDescent="0.25">
      <c r="A104" s="40" t="s">
        <v>539</v>
      </c>
      <c r="B104" s="93" t="s">
        <v>702</v>
      </c>
      <c r="C104" s="69">
        <v>505715</v>
      </c>
      <c r="D104" s="69"/>
      <c r="E104" s="94" t="str">
        <f t="shared" si="11"/>
        <v>00109030505715</v>
      </c>
      <c r="F104" s="42"/>
      <c r="G104" s="34">
        <f>ROUND(IFERROR(VLOOKUP(_xlfn.CONCAT($B104,$C104,$D104),$A$117:$C$9996,3,FALSE),0),0)</f>
        <v>0</v>
      </c>
      <c r="H104" s="43"/>
      <c r="I104" s="34">
        <f t="shared" si="8"/>
        <v>0</v>
      </c>
      <c r="J104" s="43"/>
      <c r="K104" s="45">
        <v>0</v>
      </c>
      <c r="L104" s="43"/>
      <c r="M104" s="234">
        <v>0</v>
      </c>
      <c r="N104" s="39"/>
      <c r="O104" s="45">
        <f t="shared" si="9"/>
        <v>0</v>
      </c>
      <c r="P104" s="2"/>
      <c r="Q104" s="45">
        <f t="shared" si="10"/>
        <v>0</v>
      </c>
    </row>
    <row r="105" spans="1:17" ht="15" customHeight="1" x14ac:dyDescent="0.25">
      <c r="A105" s="40" t="s">
        <v>147</v>
      </c>
      <c r="B105" s="93" t="s">
        <v>702</v>
      </c>
      <c r="C105" s="69">
        <v>505750</v>
      </c>
      <c r="D105" s="69"/>
      <c r="E105" s="94" t="str">
        <f t="shared" si="11"/>
        <v>00109030505750</v>
      </c>
      <c r="F105" s="42"/>
      <c r="G105" s="34">
        <f>ROUND(IFERROR(VLOOKUP(_xlfn.CONCAT($B105,$C105,$D105),$A$117:$C$9996,3,FALSE),0),0)</f>
        <v>0</v>
      </c>
      <c r="H105" s="43"/>
      <c r="I105" s="34">
        <f t="shared" si="8"/>
        <v>0</v>
      </c>
      <c r="J105" s="43"/>
      <c r="K105" s="45">
        <v>0</v>
      </c>
      <c r="L105" s="43"/>
      <c r="M105" s="234">
        <v>0</v>
      </c>
      <c r="N105" s="39"/>
      <c r="O105" s="45">
        <f t="shared" si="9"/>
        <v>0</v>
      </c>
      <c r="P105" s="2"/>
      <c r="Q105" s="45">
        <f t="shared" si="10"/>
        <v>0</v>
      </c>
    </row>
    <row r="106" spans="1:17" ht="13.15" customHeight="1" x14ac:dyDescent="0.25">
      <c r="A106" s="40" t="s">
        <v>746</v>
      </c>
      <c r="B106" s="93" t="s">
        <v>702</v>
      </c>
      <c r="C106" s="42">
        <v>505801</v>
      </c>
      <c r="D106" s="42"/>
      <c r="E106" s="94" t="str">
        <f t="shared" si="11"/>
        <v>00109030505801</v>
      </c>
      <c r="F106" s="42"/>
      <c r="G106" s="34">
        <f>ROUND(IFERROR(VLOOKUP(_xlfn.CONCAT($B106,$C106,$D106),$A$117:$C$9996,3,FALSE),0),0)</f>
        <v>0</v>
      </c>
      <c r="H106" s="43"/>
      <c r="I106" s="34">
        <f t="shared" si="8"/>
        <v>468</v>
      </c>
      <c r="J106" s="43"/>
      <c r="K106" s="72">
        <v>0</v>
      </c>
      <c r="L106" s="43"/>
      <c r="M106" s="237">
        <v>0</v>
      </c>
      <c r="N106" s="39"/>
      <c r="O106" s="45">
        <f t="shared" si="9"/>
        <v>0</v>
      </c>
      <c r="P106" s="2"/>
      <c r="Q106" s="45">
        <f t="shared" si="10"/>
        <v>0</v>
      </c>
    </row>
    <row r="107" spans="1:17" ht="15" customHeight="1" x14ac:dyDescent="0.25">
      <c r="A107" s="60"/>
      <c r="B107" s="61"/>
      <c r="C107" s="42"/>
      <c r="D107" s="42"/>
      <c r="E107" s="71"/>
      <c r="F107" s="42"/>
      <c r="G107" s="72"/>
      <c r="H107" s="43"/>
      <c r="I107" s="72"/>
      <c r="J107" s="43"/>
      <c r="K107" s="97"/>
      <c r="L107" s="43"/>
      <c r="M107" s="97"/>
      <c r="N107" s="39"/>
      <c r="O107" s="45"/>
      <c r="P107" s="2"/>
      <c r="Q107" s="45"/>
    </row>
    <row r="108" spans="1:17" ht="22.15" customHeight="1" x14ac:dyDescent="0.25">
      <c r="A108" s="49" t="s">
        <v>75</v>
      </c>
      <c r="B108" s="50"/>
      <c r="C108" s="42"/>
      <c r="D108" s="42"/>
      <c r="E108" s="71"/>
      <c r="F108" s="42" t="s">
        <v>19</v>
      </c>
      <c r="G108" s="98">
        <f>SUM(G53:G107)</f>
        <v>779814</v>
      </c>
      <c r="H108" s="42" t="s">
        <v>19</v>
      </c>
      <c r="I108" s="98">
        <f>SUM(I53:I107)</f>
        <v>889359</v>
      </c>
      <c r="J108" s="42" t="s">
        <v>19</v>
      </c>
      <c r="K108" s="98">
        <f>SUM(K53:K107)</f>
        <v>1084365</v>
      </c>
      <c r="L108" s="42" t="s">
        <v>19</v>
      </c>
      <c r="M108" s="98">
        <f>SUM(M53:M107)</f>
        <v>1084365</v>
      </c>
      <c r="N108" s="141" t="s">
        <v>19</v>
      </c>
      <c r="O108" s="98">
        <f>SUM(O53:O107)</f>
        <v>1084365</v>
      </c>
      <c r="P108" s="141" t="s">
        <v>19</v>
      </c>
      <c r="Q108" s="98">
        <f>SUM(Q53:Q107)</f>
        <v>1084365</v>
      </c>
    </row>
    <row r="109" spans="1:17" ht="22.15" customHeight="1" thickBot="1" x14ac:dyDescent="0.3">
      <c r="A109" s="99" t="s">
        <v>76</v>
      </c>
      <c r="B109" s="29"/>
      <c r="C109" s="42"/>
      <c r="D109" s="42"/>
      <c r="E109" s="71"/>
      <c r="F109" s="42" t="s">
        <v>19</v>
      </c>
      <c r="G109" s="109">
        <f>+G25+G108</f>
        <v>2555377</v>
      </c>
      <c r="H109" s="42" t="s">
        <v>19</v>
      </c>
      <c r="I109" s="109">
        <f>+I25+I108</f>
        <v>2652413</v>
      </c>
      <c r="J109" s="42" t="s">
        <v>19</v>
      </c>
      <c r="K109" s="109">
        <f>+K25+K108</f>
        <v>3078539</v>
      </c>
      <c r="L109" s="42" t="s">
        <v>19</v>
      </c>
      <c r="M109" s="109">
        <f>+M25+M108</f>
        <v>3078539</v>
      </c>
      <c r="N109" s="141" t="s">
        <v>19</v>
      </c>
      <c r="O109" s="109">
        <f>+O25+O108</f>
        <v>3078539</v>
      </c>
      <c r="P109" s="141" t="s">
        <v>19</v>
      </c>
      <c r="Q109" s="109">
        <f>+Q25+Q108</f>
        <v>3078539</v>
      </c>
    </row>
    <row r="110" spans="1:17" ht="12" customHeight="1" thickTop="1" x14ac:dyDescent="0.25">
      <c r="A110" s="193"/>
      <c r="B110" s="29"/>
      <c r="C110" s="15"/>
      <c r="D110" s="15"/>
      <c r="E110" s="71"/>
      <c r="F110" s="42"/>
      <c r="G110" s="15"/>
      <c r="H110" s="42"/>
      <c r="I110" s="15"/>
      <c r="J110" s="42"/>
      <c r="K110" s="15"/>
      <c r="L110" s="42"/>
      <c r="M110" s="15"/>
      <c r="N110" s="15"/>
      <c r="O110" s="15"/>
      <c r="P110" s="2"/>
      <c r="Q110" s="15"/>
    </row>
    <row r="111" spans="1:17" x14ac:dyDescent="0.25">
      <c r="A111" s="194"/>
      <c r="B111" s="195"/>
      <c r="C111" s="194"/>
      <c r="D111" s="194"/>
      <c r="E111" s="196"/>
      <c r="F111" s="197"/>
      <c r="G111" s="194"/>
      <c r="H111" s="197"/>
      <c r="I111" s="194"/>
      <c r="J111" s="197"/>
      <c r="K111" s="194"/>
      <c r="L111" s="197"/>
      <c r="M111" s="194"/>
      <c r="N111" s="194"/>
      <c r="O111" s="194"/>
      <c r="P111" s="2"/>
      <c r="Q111" s="194"/>
    </row>
    <row r="112" spans="1:17" ht="12" hidden="1" customHeight="1" x14ac:dyDescent="0.25">
      <c r="A112" s="28" t="s">
        <v>77</v>
      </c>
      <c r="B112" s="29"/>
      <c r="C112" s="15"/>
      <c r="D112" s="15"/>
      <c r="E112" s="71"/>
      <c r="F112" s="42"/>
      <c r="G112" s="76">
        <v>2555377</v>
      </c>
      <c r="H112" s="42"/>
      <c r="I112" s="76">
        <v>2652413</v>
      </c>
      <c r="J112" s="42"/>
      <c r="K112" s="15"/>
      <c r="L112" s="42"/>
      <c r="M112" s="15"/>
      <c r="N112" s="15"/>
      <c r="O112" s="15"/>
      <c r="P112" s="2"/>
      <c r="Q112" s="15"/>
    </row>
    <row r="113" spans="1:21" hidden="1" x14ac:dyDescent="0.25">
      <c r="A113" s="28" t="s">
        <v>78</v>
      </c>
      <c r="B113" s="29"/>
      <c r="C113" s="15"/>
      <c r="D113" s="15"/>
      <c r="E113" s="71"/>
      <c r="F113" s="42"/>
      <c r="G113" s="44">
        <f>G109-G112</f>
        <v>0</v>
      </c>
      <c r="H113" s="43"/>
      <c r="I113" s="44">
        <f>I109-I112</f>
        <v>0</v>
      </c>
      <c r="J113" s="42"/>
      <c r="K113" s="15"/>
      <c r="L113" s="42"/>
      <c r="M113" s="15"/>
      <c r="N113" s="141"/>
      <c r="O113" s="15"/>
      <c r="P113" s="2"/>
      <c r="Q113" s="15"/>
    </row>
    <row r="114" spans="1:21" hidden="1" x14ac:dyDescent="0.25">
      <c r="A114" s="15"/>
      <c r="B114" s="29"/>
      <c r="C114" s="42"/>
      <c r="D114" s="42"/>
      <c r="E114" s="71"/>
      <c r="F114" s="42"/>
      <c r="G114" s="15"/>
      <c r="H114" s="113"/>
      <c r="I114" s="15"/>
      <c r="J114" s="113"/>
      <c r="K114" s="15"/>
      <c r="L114" s="113"/>
      <c r="M114" s="15"/>
      <c r="N114" s="15"/>
      <c r="O114" s="15"/>
      <c r="P114" s="2"/>
      <c r="Q114" s="15"/>
    </row>
    <row r="115" spans="1:21" hidden="1" x14ac:dyDescent="0.25">
      <c r="A115" s="15"/>
      <c r="B115" s="29"/>
      <c r="C115" s="42"/>
      <c r="D115" s="42"/>
      <c r="E115" s="71"/>
      <c r="F115" s="42"/>
      <c r="G115" s="15"/>
      <c r="H115" s="113"/>
      <c r="I115" s="15"/>
      <c r="J115" s="113"/>
      <c r="K115" s="15"/>
      <c r="L115" s="113"/>
      <c r="M115" s="15"/>
      <c r="N115" s="15"/>
      <c r="O115" s="15"/>
      <c r="P115" s="2"/>
      <c r="Q115" s="15"/>
    </row>
    <row r="116" spans="1:21" s="15" customFormat="1" hidden="1" x14ac:dyDescent="0.25">
      <c r="B116" s="29" t="s">
        <v>79</v>
      </c>
      <c r="C116" s="42" t="s">
        <v>80</v>
      </c>
      <c r="D116" s="42"/>
      <c r="E116" s="71"/>
      <c r="F116" s="42"/>
      <c r="G116" s="77" t="s">
        <v>81</v>
      </c>
      <c r="H116" s="113"/>
      <c r="J116" s="113"/>
      <c r="L116" s="113"/>
      <c r="R116"/>
      <c r="S116"/>
      <c r="T116"/>
      <c r="U116"/>
    </row>
    <row r="117" spans="1:21" hidden="1" x14ac:dyDescent="0.25">
      <c r="A117" s="15" t="s">
        <v>747</v>
      </c>
      <c r="B117" s="29">
        <v>1184425.43</v>
      </c>
      <c r="C117" s="42">
        <v>1204142.9099999999</v>
      </c>
      <c r="D117" s="42"/>
      <c r="E117" s="71"/>
      <c r="F117" s="42"/>
      <c r="G117" s="15" t="str">
        <f t="shared" ref="G117:G176" si="12">VLOOKUP(A117,E:E,1,FALSE)</f>
        <v>00109030501201</v>
      </c>
      <c r="H117" s="113"/>
      <c r="I117" s="15"/>
      <c r="J117" s="113"/>
      <c r="K117" s="15"/>
      <c r="L117" s="113"/>
      <c r="M117" s="15"/>
      <c r="N117" s="15"/>
      <c r="O117" s="15"/>
      <c r="P117" s="2"/>
      <c r="Q117" s="15"/>
    </row>
    <row r="118" spans="1:21" hidden="1" x14ac:dyDescent="0.25">
      <c r="A118" s="15" t="s">
        <v>748</v>
      </c>
      <c r="B118" s="29">
        <v>16006.04</v>
      </c>
      <c r="C118" s="42">
        <v>16336.19</v>
      </c>
      <c r="D118" s="42"/>
      <c r="E118" s="71"/>
      <c r="F118" s="42"/>
      <c r="G118" s="15" t="str">
        <f t="shared" si="12"/>
        <v>00109030501210</v>
      </c>
      <c r="H118" s="113"/>
      <c r="I118" s="15"/>
      <c r="J118" s="113"/>
      <c r="K118" s="15"/>
      <c r="L118" s="113"/>
      <c r="M118" s="15"/>
      <c r="N118" s="15"/>
      <c r="O118" s="15"/>
      <c r="P118" s="2"/>
      <c r="Q118" s="15"/>
    </row>
    <row r="119" spans="1:21" hidden="1" x14ac:dyDescent="0.25">
      <c r="A119" s="15" t="s">
        <v>749</v>
      </c>
      <c r="B119" s="29">
        <v>0</v>
      </c>
      <c r="C119" s="42">
        <v>0</v>
      </c>
      <c r="D119" s="42"/>
      <c r="E119" s="71"/>
      <c r="F119" s="42"/>
      <c r="G119" s="15" t="str">
        <f t="shared" si="12"/>
        <v>00109030501290</v>
      </c>
      <c r="H119" s="198"/>
      <c r="I119" s="15"/>
      <c r="J119" s="198"/>
      <c r="K119" s="15"/>
      <c r="L119" s="198"/>
    </row>
    <row r="120" spans="1:21" hidden="1" x14ac:dyDescent="0.25">
      <c r="A120" s="15" t="s">
        <v>750</v>
      </c>
      <c r="B120" s="29">
        <v>15039.92</v>
      </c>
      <c r="C120" s="42">
        <v>30742.5</v>
      </c>
      <c r="D120" s="42"/>
      <c r="E120" s="71"/>
      <c r="F120" s="42"/>
      <c r="G120" s="15" t="str">
        <f t="shared" si="12"/>
        <v>00109030501300</v>
      </c>
      <c r="H120" s="198"/>
      <c r="I120" s="15"/>
      <c r="J120" s="198"/>
      <c r="K120" s="15"/>
      <c r="L120" s="198"/>
    </row>
    <row r="121" spans="1:21" hidden="1" x14ac:dyDescent="0.25">
      <c r="A121" s="15" t="s">
        <v>751</v>
      </c>
      <c r="B121" s="29">
        <v>65641.36</v>
      </c>
      <c r="C121" s="42">
        <v>31970.38</v>
      </c>
      <c r="D121" s="42"/>
      <c r="E121" s="71"/>
      <c r="F121" s="42"/>
      <c r="G121" s="15" t="str">
        <f t="shared" si="12"/>
        <v>00109030501400</v>
      </c>
      <c r="H121" s="198"/>
      <c r="I121" s="15"/>
      <c r="J121" s="198"/>
      <c r="K121" s="15"/>
      <c r="L121" s="198"/>
    </row>
    <row r="122" spans="1:21" hidden="1" x14ac:dyDescent="0.25">
      <c r="A122" s="15" t="s">
        <v>752</v>
      </c>
      <c r="B122" s="29">
        <v>0</v>
      </c>
      <c r="C122" s="42">
        <v>225</v>
      </c>
      <c r="D122" s="42"/>
      <c r="E122" s="71"/>
      <c r="F122" s="42"/>
      <c r="G122" s="15" t="str">
        <f t="shared" si="12"/>
        <v>00109030501401</v>
      </c>
      <c r="H122" s="120"/>
      <c r="I122" s="15"/>
      <c r="J122" s="120"/>
      <c r="K122" s="15"/>
      <c r="L122" s="120"/>
    </row>
    <row r="123" spans="1:21" hidden="1" x14ac:dyDescent="0.25">
      <c r="A123" s="15" t="s">
        <v>753</v>
      </c>
      <c r="B123" s="29">
        <v>6847.8</v>
      </c>
      <c r="C123" s="42">
        <v>763.05</v>
      </c>
      <c r="D123" s="42"/>
      <c r="E123" s="71"/>
      <c r="F123" s="42"/>
      <c r="G123" s="15" t="str">
        <f t="shared" si="12"/>
        <v>00109030501600</v>
      </c>
      <c r="H123" s="120"/>
      <c r="I123" s="15"/>
      <c r="J123" s="120"/>
      <c r="K123" s="15"/>
      <c r="L123" s="120"/>
    </row>
    <row r="124" spans="1:21" hidden="1" x14ac:dyDescent="0.25">
      <c r="A124" s="15" t="s">
        <v>754</v>
      </c>
      <c r="B124" s="29">
        <v>4427.08</v>
      </c>
      <c r="C124" s="42">
        <v>4534.62</v>
      </c>
      <c r="D124" s="42"/>
      <c r="E124" s="71"/>
      <c r="F124" s="42"/>
      <c r="G124" s="15" t="str">
        <f t="shared" si="12"/>
        <v>00109030501702</v>
      </c>
      <c r="H124" s="120"/>
      <c r="I124" s="15"/>
      <c r="J124" s="120"/>
      <c r="K124" s="15"/>
      <c r="L124" s="120"/>
    </row>
    <row r="125" spans="1:21" hidden="1" x14ac:dyDescent="0.25">
      <c r="A125" s="15" t="s">
        <v>755</v>
      </c>
      <c r="B125" s="29">
        <v>0</v>
      </c>
      <c r="C125" s="42">
        <v>0</v>
      </c>
      <c r="D125" s="42"/>
      <c r="E125" s="71"/>
      <c r="F125" s="42"/>
      <c r="G125" s="15" t="str">
        <f t="shared" si="12"/>
        <v>00109030501800</v>
      </c>
      <c r="H125" s="120"/>
      <c r="I125" s="15"/>
      <c r="J125" s="120"/>
      <c r="K125" s="15"/>
      <c r="L125" s="120"/>
    </row>
    <row r="126" spans="1:21" hidden="1" x14ac:dyDescent="0.25">
      <c r="A126" s="15" t="s">
        <v>756</v>
      </c>
      <c r="B126" s="29">
        <v>96899.32</v>
      </c>
      <c r="C126" s="42">
        <v>96650.96</v>
      </c>
      <c r="D126" s="42"/>
      <c r="E126" s="71"/>
      <c r="F126" s="42"/>
      <c r="G126" s="15" t="str">
        <f t="shared" si="12"/>
        <v>00109030502100</v>
      </c>
      <c r="H126" s="120"/>
      <c r="I126" s="15"/>
      <c r="J126" s="120"/>
      <c r="K126" s="15"/>
      <c r="L126" s="120"/>
    </row>
    <row r="127" spans="1:21" hidden="1" x14ac:dyDescent="0.25">
      <c r="A127" s="15" t="s">
        <v>757</v>
      </c>
      <c r="B127" s="29">
        <v>0</v>
      </c>
      <c r="C127" s="42">
        <v>0</v>
      </c>
      <c r="D127" s="42"/>
      <c r="E127" s="71"/>
      <c r="F127" s="42"/>
      <c r="G127" s="15" t="e">
        <f t="shared" si="12"/>
        <v>#N/A</v>
      </c>
      <c r="H127" s="120"/>
      <c r="I127" s="15"/>
      <c r="J127" s="120"/>
      <c r="K127" s="15"/>
      <c r="L127" s="120"/>
    </row>
    <row r="128" spans="1:21" hidden="1" x14ac:dyDescent="0.25">
      <c r="A128" s="15" t="s">
        <v>758</v>
      </c>
      <c r="B128" s="29">
        <v>137310.5</v>
      </c>
      <c r="C128" s="42">
        <v>138277.54</v>
      </c>
      <c r="D128" s="42"/>
      <c r="E128" s="71"/>
      <c r="F128" s="42"/>
      <c r="G128" s="15" t="str">
        <f t="shared" si="12"/>
        <v>00109030502200</v>
      </c>
      <c r="H128" s="42"/>
      <c r="I128" s="15"/>
      <c r="J128" s="42"/>
      <c r="K128" s="15"/>
      <c r="L128" s="42"/>
    </row>
    <row r="129" spans="1:17" hidden="1" x14ac:dyDescent="0.25">
      <c r="A129" s="15" t="s">
        <v>759</v>
      </c>
      <c r="B129" s="29">
        <v>234047.93</v>
      </c>
      <c r="C129" s="42">
        <v>249524.52</v>
      </c>
      <c r="D129" s="42"/>
      <c r="E129" s="71"/>
      <c r="F129" s="42"/>
      <c r="G129" s="15" t="str">
        <f t="shared" si="12"/>
        <v>00109030502300</v>
      </c>
      <c r="H129" s="42"/>
      <c r="I129" s="15"/>
      <c r="J129" s="42"/>
      <c r="K129" s="15"/>
      <c r="L129" s="42"/>
    </row>
    <row r="130" spans="1:17" hidden="1" x14ac:dyDescent="0.25">
      <c r="A130" s="199" t="s">
        <v>760</v>
      </c>
      <c r="B130" s="200">
        <v>2409.2800000000002</v>
      </c>
      <c r="C130" s="42">
        <v>2394.21</v>
      </c>
      <c r="D130" s="42"/>
      <c r="E130" s="71"/>
      <c r="F130" s="42"/>
      <c r="G130" s="15" t="str">
        <f t="shared" si="12"/>
        <v>00109030502400</v>
      </c>
      <c r="H130" s="67"/>
      <c r="I130" s="15"/>
      <c r="J130" s="67"/>
      <c r="K130" s="15"/>
      <c r="L130" s="67"/>
    </row>
    <row r="131" spans="1:17" hidden="1" x14ac:dyDescent="0.25">
      <c r="A131" s="15" t="s">
        <v>761</v>
      </c>
      <c r="B131" s="29">
        <v>466983.09</v>
      </c>
      <c r="C131" s="42">
        <v>393841</v>
      </c>
      <c r="D131" s="42"/>
      <c r="E131" s="71"/>
      <c r="F131" s="42"/>
      <c r="G131" s="15" t="str">
        <f t="shared" si="12"/>
        <v>00109030503420</v>
      </c>
      <c r="H131" s="42"/>
      <c r="I131" s="15"/>
      <c r="J131" s="42"/>
      <c r="K131" s="15"/>
      <c r="L131" s="42"/>
    </row>
    <row r="132" spans="1:17" hidden="1" x14ac:dyDescent="0.25">
      <c r="A132" s="199" t="s">
        <v>762</v>
      </c>
      <c r="B132" s="200">
        <v>0</v>
      </c>
      <c r="C132" s="42">
        <v>1320</v>
      </c>
      <c r="D132" s="42"/>
      <c r="E132" s="71"/>
      <c r="F132" s="42"/>
      <c r="G132" s="15" t="str">
        <f t="shared" si="12"/>
        <v>0010903050342022025</v>
      </c>
      <c r="H132" s="67"/>
      <c r="I132" s="15"/>
      <c r="J132" s="67"/>
      <c r="K132" s="15"/>
      <c r="L132" s="67"/>
    </row>
    <row r="133" spans="1:17" hidden="1" x14ac:dyDescent="0.25">
      <c r="A133" s="199" t="s">
        <v>763</v>
      </c>
      <c r="B133" s="200">
        <v>2619.9</v>
      </c>
      <c r="C133" s="42">
        <v>1033.2</v>
      </c>
      <c r="D133" s="42"/>
      <c r="E133" s="71"/>
      <c r="F133" s="42"/>
      <c r="G133" s="15" t="str">
        <f t="shared" si="12"/>
        <v>00109030503450</v>
      </c>
      <c r="H133" s="67"/>
      <c r="I133" s="15"/>
      <c r="J133" s="67"/>
      <c r="K133" s="15"/>
      <c r="L133" s="67"/>
    </row>
    <row r="134" spans="1:17" hidden="1" x14ac:dyDescent="0.25">
      <c r="A134" s="199" t="s">
        <v>764</v>
      </c>
      <c r="B134" s="200">
        <v>8983.6</v>
      </c>
      <c r="C134" s="42">
        <v>8000.1</v>
      </c>
      <c r="D134" s="42"/>
      <c r="E134" s="71"/>
      <c r="F134" s="42"/>
      <c r="G134" s="15" t="str">
        <f t="shared" si="12"/>
        <v>00109030503460</v>
      </c>
      <c r="H134" s="67"/>
      <c r="I134" s="15"/>
      <c r="J134" s="67"/>
      <c r="K134" s="15"/>
      <c r="L134" s="67"/>
    </row>
    <row r="135" spans="1:17" hidden="1" x14ac:dyDescent="0.25">
      <c r="A135" s="199" t="s">
        <v>765</v>
      </c>
      <c r="B135" s="200">
        <v>0</v>
      </c>
      <c r="C135" s="42">
        <v>0</v>
      </c>
      <c r="D135" s="42"/>
      <c r="E135" s="71"/>
      <c r="F135" s="42"/>
      <c r="G135" s="15" t="str">
        <f t="shared" si="12"/>
        <v>00109030503499</v>
      </c>
      <c r="H135" s="67"/>
      <c r="I135" s="15"/>
      <c r="J135" s="67"/>
      <c r="K135" s="15"/>
      <c r="L135" s="67"/>
      <c r="M135" s="15"/>
      <c r="N135" s="15"/>
      <c r="O135" s="15"/>
      <c r="P135" s="2"/>
      <c r="Q135" s="15"/>
    </row>
    <row r="136" spans="1:17" hidden="1" x14ac:dyDescent="0.25">
      <c r="A136" s="15" t="s">
        <v>766</v>
      </c>
      <c r="B136" s="29">
        <v>0</v>
      </c>
      <c r="C136" s="42">
        <v>0</v>
      </c>
      <c r="D136" s="42"/>
      <c r="E136" s="71"/>
      <c r="F136" s="42"/>
      <c r="G136" s="15" t="str">
        <f t="shared" si="12"/>
        <v>00109030503901</v>
      </c>
      <c r="H136" s="42"/>
      <c r="I136" s="15"/>
      <c r="J136" s="42"/>
      <c r="K136" s="15"/>
      <c r="L136" s="42"/>
      <c r="M136" s="15"/>
      <c r="N136" s="15"/>
      <c r="O136" s="15"/>
      <c r="P136" s="2"/>
      <c r="Q136" s="15"/>
    </row>
    <row r="137" spans="1:17" hidden="1" x14ac:dyDescent="0.25">
      <c r="A137" s="15" t="s">
        <v>767</v>
      </c>
      <c r="B137" s="29">
        <v>0</v>
      </c>
      <c r="C137" s="42">
        <v>0</v>
      </c>
      <c r="D137" s="42"/>
      <c r="E137" s="71"/>
      <c r="F137" s="42"/>
      <c r="G137" s="15" t="e">
        <f t="shared" si="12"/>
        <v>#N/A</v>
      </c>
      <c r="H137" s="42"/>
      <c r="I137" s="15"/>
      <c r="J137" s="42"/>
      <c r="K137" s="15"/>
      <c r="L137" s="42"/>
      <c r="M137" s="15"/>
      <c r="N137" s="15"/>
      <c r="O137" s="15"/>
      <c r="P137" s="2"/>
      <c r="Q137" s="15"/>
    </row>
    <row r="138" spans="1:17" hidden="1" x14ac:dyDescent="0.25">
      <c r="A138" s="15" t="s">
        <v>768</v>
      </c>
      <c r="B138" s="29">
        <v>0</v>
      </c>
      <c r="C138" s="42">
        <v>0</v>
      </c>
      <c r="D138" s="42"/>
      <c r="E138" s="71"/>
      <c r="F138" s="42"/>
      <c r="G138" s="15" t="e">
        <f t="shared" si="12"/>
        <v>#N/A</v>
      </c>
      <c r="H138" s="42"/>
      <c r="I138" s="15"/>
      <c r="J138" s="42"/>
      <c r="K138" s="15"/>
      <c r="L138" s="42"/>
      <c r="M138" s="15"/>
      <c r="N138" s="15"/>
      <c r="O138" s="15"/>
      <c r="P138" s="2"/>
      <c r="Q138" s="15"/>
    </row>
    <row r="139" spans="1:17" hidden="1" x14ac:dyDescent="0.25">
      <c r="A139" s="15" t="s">
        <v>769</v>
      </c>
      <c r="B139" s="29">
        <v>0</v>
      </c>
      <c r="C139" s="42">
        <v>0</v>
      </c>
      <c r="D139" s="42"/>
      <c r="E139" s="71"/>
      <c r="F139" s="42"/>
      <c r="G139" s="15" t="e">
        <f t="shared" si="12"/>
        <v>#N/A</v>
      </c>
      <c r="H139" s="42"/>
      <c r="I139" s="15"/>
      <c r="J139" s="42"/>
      <c r="K139" s="15"/>
      <c r="L139" s="42"/>
      <c r="M139" s="15"/>
      <c r="N139" s="15"/>
      <c r="O139" s="15"/>
      <c r="P139" s="2"/>
      <c r="Q139" s="15"/>
    </row>
    <row r="140" spans="1:17" hidden="1" x14ac:dyDescent="0.25">
      <c r="A140" s="15" t="s">
        <v>770</v>
      </c>
      <c r="B140" s="29">
        <v>1900.01</v>
      </c>
      <c r="C140" s="42">
        <v>682.78</v>
      </c>
      <c r="D140" s="42"/>
      <c r="E140" s="71"/>
      <c r="F140" s="42"/>
      <c r="G140" s="15" t="str">
        <f t="shared" si="12"/>
        <v>00109030504060</v>
      </c>
      <c r="H140" s="42"/>
      <c r="I140" s="15"/>
      <c r="J140" s="42"/>
      <c r="K140" s="15"/>
      <c r="L140" s="42"/>
      <c r="M140" s="15"/>
      <c r="N140" s="15"/>
      <c r="O140" s="15"/>
      <c r="P140" s="2"/>
      <c r="Q140" s="15"/>
    </row>
    <row r="141" spans="1:17" hidden="1" x14ac:dyDescent="0.25">
      <c r="A141" s="15" t="s">
        <v>771</v>
      </c>
      <c r="B141" s="29">
        <v>0</v>
      </c>
      <c r="C141" s="42">
        <v>2594.9699999999998</v>
      </c>
      <c r="D141" s="42"/>
      <c r="E141" s="71"/>
      <c r="F141" s="42"/>
      <c r="G141" s="15" t="str">
        <f t="shared" si="12"/>
        <v>00109030504070</v>
      </c>
      <c r="H141" s="42"/>
      <c r="I141" s="15"/>
      <c r="J141" s="42"/>
      <c r="K141" s="15"/>
      <c r="L141" s="42"/>
      <c r="M141" s="15"/>
      <c r="N141" s="15"/>
      <c r="O141" s="15"/>
      <c r="P141" s="2"/>
      <c r="Q141" s="15"/>
    </row>
    <row r="142" spans="1:17" hidden="1" x14ac:dyDescent="0.25">
      <c r="A142" s="15" t="s">
        <v>772</v>
      </c>
      <c r="B142" s="29">
        <v>2883</v>
      </c>
      <c r="C142" s="42">
        <v>0</v>
      </c>
      <c r="D142" s="42"/>
      <c r="E142" s="71"/>
      <c r="F142" s="42"/>
      <c r="G142" s="15" t="str">
        <f t="shared" si="12"/>
        <v>00109030504430</v>
      </c>
      <c r="H142" s="42"/>
      <c r="I142" s="15"/>
      <c r="J142" s="42"/>
      <c r="K142" s="15"/>
      <c r="L142" s="42"/>
      <c r="M142" s="15"/>
      <c r="N142" s="15"/>
      <c r="O142" s="15"/>
      <c r="P142" s="2"/>
      <c r="Q142" s="15"/>
    </row>
    <row r="143" spans="1:17" hidden="1" x14ac:dyDescent="0.25">
      <c r="A143" s="15" t="s">
        <v>773</v>
      </c>
      <c r="B143" s="29">
        <v>0</v>
      </c>
      <c r="C143" s="42">
        <v>0</v>
      </c>
      <c r="D143" s="42"/>
      <c r="E143" s="71"/>
      <c r="F143" s="42"/>
      <c r="G143" s="15" t="str">
        <f t="shared" si="12"/>
        <v>00109030504601</v>
      </c>
      <c r="H143" s="42"/>
      <c r="I143" s="15"/>
      <c r="J143" s="42"/>
      <c r="K143" s="15"/>
      <c r="L143" s="42"/>
      <c r="M143" s="15"/>
      <c r="N143" s="15"/>
      <c r="O143" s="15"/>
      <c r="P143" s="2"/>
      <c r="Q143" s="15"/>
    </row>
    <row r="144" spans="1:17" hidden="1" x14ac:dyDescent="0.25">
      <c r="A144" s="15" t="s">
        <v>774</v>
      </c>
      <c r="B144" s="29">
        <v>0</v>
      </c>
      <c r="C144" s="42">
        <v>0</v>
      </c>
      <c r="D144" s="42"/>
      <c r="E144" s="71"/>
      <c r="F144" s="42"/>
      <c r="G144" s="15" t="str">
        <f t="shared" si="12"/>
        <v>00109030504602</v>
      </c>
      <c r="H144" s="67"/>
      <c r="I144" s="201"/>
      <c r="J144" s="67"/>
      <c r="K144" s="45"/>
      <c r="L144" s="43"/>
      <c r="M144" s="45"/>
      <c r="N144" s="15"/>
      <c r="O144" s="45"/>
      <c r="P144" s="2"/>
      <c r="Q144" s="45"/>
    </row>
    <row r="145" spans="1:17" hidden="1" x14ac:dyDescent="0.25">
      <c r="A145" s="15" t="s">
        <v>775</v>
      </c>
      <c r="B145" s="29">
        <v>97604.35</v>
      </c>
      <c r="C145" s="42">
        <v>82808.97</v>
      </c>
      <c r="D145" s="42"/>
      <c r="E145" s="71"/>
      <c r="F145" s="42"/>
      <c r="G145" s="15" t="str">
        <f t="shared" si="12"/>
        <v>00109030504610</v>
      </c>
      <c r="H145" s="67"/>
      <c r="I145" s="202"/>
      <c r="J145" s="67"/>
      <c r="K145" s="45"/>
      <c r="L145" s="43"/>
      <c r="M145" s="45"/>
      <c r="N145" s="15"/>
      <c r="O145" s="45"/>
      <c r="P145" s="2"/>
      <c r="Q145" s="45"/>
    </row>
    <row r="146" spans="1:17" hidden="1" x14ac:dyDescent="0.25">
      <c r="A146" s="15" t="s">
        <v>776</v>
      </c>
      <c r="B146" s="29">
        <v>193949.18</v>
      </c>
      <c r="C146" s="42">
        <v>145558.75</v>
      </c>
      <c r="D146" s="42"/>
      <c r="E146" s="71"/>
      <c r="F146" s="42"/>
      <c r="G146" s="15" t="str">
        <f t="shared" si="12"/>
        <v>00109030504615</v>
      </c>
      <c r="H146" s="67"/>
      <c r="I146" s="202"/>
      <c r="J146" s="67"/>
      <c r="K146" s="45"/>
      <c r="L146" s="43"/>
      <c r="M146" s="45"/>
      <c r="N146" s="15"/>
      <c r="O146" s="45"/>
      <c r="P146" s="2"/>
      <c r="Q146" s="45"/>
    </row>
    <row r="147" spans="1:17" hidden="1" x14ac:dyDescent="0.25">
      <c r="A147" s="15" t="s">
        <v>777</v>
      </c>
      <c r="B147" s="29">
        <v>0</v>
      </c>
      <c r="C147" s="42">
        <v>4651.7700000000004</v>
      </c>
      <c r="D147" s="42"/>
      <c r="E147" s="71"/>
      <c r="F147" s="42"/>
      <c r="G147" s="15" t="str">
        <f t="shared" si="12"/>
        <v>0010903050461522025</v>
      </c>
      <c r="H147" s="67"/>
      <c r="I147" s="202"/>
      <c r="J147" s="67"/>
      <c r="K147" s="45"/>
      <c r="L147" s="43"/>
      <c r="M147" s="45"/>
      <c r="N147" s="15"/>
      <c r="O147" s="45"/>
      <c r="P147" s="2"/>
      <c r="Q147" s="45"/>
    </row>
    <row r="148" spans="1:17" hidden="1" x14ac:dyDescent="0.25">
      <c r="A148" s="15" t="s">
        <v>778</v>
      </c>
      <c r="B148" s="29">
        <v>12918.87</v>
      </c>
      <c r="C148" s="42">
        <v>4239.8900000000003</v>
      </c>
      <c r="D148" s="42"/>
      <c r="E148" s="71"/>
      <c r="F148" s="42"/>
      <c r="G148" s="15" t="str">
        <f t="shared" si="12"/>
        <v>00109030504620</v>
      </c>
      <c r="H148" s="67"/>
      <c r="I148" s="203"/>
      <c r="J148" s="67"/>
      <c r="K148" s="113"/>
      <c r="L148" s="43"/>
      <c r="M148" s="113"/>
      <c r="N148" s="15"/>
      <c r="O148" s="113"/>
      <c r="P148" s="2"/>
      <c r="Q148" s="113"/>
    </row>
    <row r="149" spans="1:17" hidden="1" x14ac:dyDescent="0.25">
      <c r="A149" s="15" t="s">
        <v>779</v>
      </c>
      <c r="B149" s="29">
        <v>0</v>
      </c>
      <c r="C149" s="42">
        <v>0</v>
      </c>
      <c r="D149" s="42"/>
      <c r="E149" s="71"/>
      <c r="F149" s="42"/>
      <c r="G149" s="15" t="str">
        <f t="shared" si="12"/>
        <v>00109030504675</v>
      </c>
      <c r="H149" s="42"/>
      <c r="I149" s="15"/>
      <c r="J149" s="42"/>
      <c r="K149" s="15"/>
      <c r="L149" s="42"/>
      <c r="M149" s="15"/>
      <c r="N149" s="15"/>
      <c r="O149" s="15"/>
      <c r="P149" s="2"/>
      <c r="Q149" s="15"/>
    </row>
    <row r="150" spans="1:17" hidden="1" x14ac:dyDescent="0.25">
      <c r="A150" s="15" t="s">
        <v>780</v>
      </c>
      <c r="B150" s="29">
        <v>146.59</v>
      </c>
      <c r="C150" s="15">
        <v>126.87</v>
      </c>
      <c r="D150" s="15"/>
      <c r="E150" s="71"/>
      <c r="F150" s="42"/>
      <c r="G150" s="15" t="str">
        <f t="shared" si="12"/>
        <v>00109030504710</v>
      </c>
      <c r="H150" s="42"/>
      <c r="I150" s="44"/>
      <c r="J150" s="42"/>
      <c r="K150" s="15"/>
      <c r="L150" s="42"/>
      <c r="M150" s="15"/>
      <c r="N150" s="15"/>
      <c r="O150" s="15"/>
      <c r="P150" s="2"/>
      <c r="Q150" s="15"/>
    </row>
    <row r="151" spans="1:17" hidden="1" x14ac:dyDescent="0.25">
      <c r="A151" s="15" t="s">
        <v>781</v>
      </c>
      <c r="B151" s="29">
        <v>0</v>
      </c>
      <c r="C151" s="15">
        <v>0</v>
      </c>
      <c r="D151" s="15"/>
      <c r="E151" s="71"/>
      <c r="F151" s="42"/>
      <c r="G151" s="15" t="e">
        <f t="shared" si="12"/>
        <v>#N/A</v>
      </c>
      <c r="H151" s="42"/>
      <c r="I151" s="44"/>
      <c r="J151" s="42"/>
      <c r="K151" s="15"/>
      <c r="L151" s="42"/>
      <c r="M151" s="15"/>
      <c r="N151" s="15"/>
      <c r="O151" s="15"/>
      <c r="P151" s="2"/>
      <c r="Q151" s="15"/>
    </row>
    <row r="152" spans="1:17" hidden="1" x14ac:dyDescent="0.25">
      <c r="A152" s="15" t="s">
        <v>782</v>
      </c>
      <c r="B152" s="29">
        <v>0</v>
      </c>
      <c r="C152" s="15">
        <v>0</v>
      </c>
      <c r="D152" s="15"/>
      <c r="E152" s="71"/>
      <c r="F152" s="42"/>
      <c r="G152" s="15" t="str">
        <f t="shared" si="12"/>
        <v>00109030505101</v>
      </c>
      <c r="H152" s="42"/>
      <c r="I152" s="44"/>
      <c r="J152" s="42"/>
      <c r="K152" s="15"/>
      <c r="L152" s="42"/>
      <c r="M152" s="15"/>
      <c r="N152" s="15"/>
      <c r="O152" s="15"/>
      <c r="P152" s="2"/>
      <c r="Q152" s="15"/>
    </row>
    <row r="153" spans="1:17" hidden="1" x14ac:dyDescent="0.25">
      <c r="A153" s="172" t="s">
        <v>783</v>
      </c>
      <c r="B153" s="70">
        <v>3972.45</v>
      </c>
      <c r="C153" s="199">
        <v>5949.51</v>
      </c>
      <c r="D153" s="199"/>
      <c r="E153" s="204"/>
      <c r="F153" s="42"/>
      <c r="G153" s="15" t="str">
        <f t="shared" si="12"/>
        <v>00109030505201</v>
      </c>
      <c r="H153" s="42"/>
      <c r="I153" s="45"/>
      <c r="J153" s="42"/>
      <c r="K153" s="45"/>
      <c r="L153" s="42"/>
      <c r="M153" s="45"/>
      <c r="N153" s="141"/>
      <c r="O153" s="45"/>
      <c r="P153" s="2"/>
      <c r="Q153" s="45"/>
    </row>
    <row r="154" spans="1:17" hidden="1" x14ac:dyDescent="0.25">
      <c r="A154" s="15" t="s">
        <v>784</v>
      </c>
      <c r="B154" s="29">
        <v>53089.31</v>
      </c>
      <c r="C154" s="15">
        <v>69332.429999999993</v>
      </c>
      <c r="D154" s="15"/>
      <c r="E154" s="71"/>
      <c r="F154" s="42"/>
      <c r="G154" s="15" t="str">
        <f t="shared" si="12"/>
        <v>00109030505220</v>
      </c>
      <c r="H154" s="42"/>
      <c r="I154" s="44"/>
      <c r="J154" s="42"/>
      <c r="K154" s="15"/>
      <c r="L154" s="42"/>
      <c r="M154" s="15"/>
      <c r="N154" s="15"/>
      <c r="O154" s="15"/>
      <c r="P154" s="2"/>
      <c r="Q154" s="15"/>
    </row>
    <row r="155" spans="1:17" hidden="1" x14ac:dyDescent="0.25">
      <c r="A155" s="15" t="s">
        <v>785</v>
      </c>
      <c r="B155" s="29">
        <v>6483.53</v>
      </c>
      <c r="C155" s="15">
        <v>12338.26</v>
      </c>
      <c r="D155" s="15"/>
      <c r="E155" s="71"/>
      <c r="F155" s="42"/>
      <c r="G155" s="15" t="str">
        <f t="shared" si="12"/>
        <v>00109030505285</v>
      </c>
      <c r="H155" s="42"/>
      <c r="I155" s="44"/>
      <c r="J155" s="42"/>
      <c r="K155" s="15"/>
      <c r="L155" s="42"/>
      <c r="M155" s="15"/>
      <c r="N155" s="15"/>
      <c r="O155" s="15"/>
      <c r="P155" s="2"/>
      <c r="Q155" s="15"/>
    </row>
    <row r="156" spans="1:17" hidden="1" x14ac:dyDescent="0.25">
      <c r="A156" s="15" t="s">
        <v>786</v>
      </c>
      <c r="B156" s="29">
        <v>314.17</v>
      </c>
      <c r="C156" s="15">
        <v>580.29</v>
      </c>
      <c r="D156" s="15"/>
      <c r="E156" s="71"/>
      <c r="F156" s="42"/>
      <c r="G156" s="15" t="str">
        <f t="shared" si="12"/>
        <v>00109030505401</v>
      </c>
      <c r="H156" s="42"/>
      <c r="I156" s="44"/>
      <c r="J156" s="42"/>
      <c r="K156" s="15"/>
      <c r="L156" s="42"/>
      <c r="M156" s="15"/>
      <c r="N156" s="15"/>
      <c r="O156" s="15"/>
      <c r="P156" s="2"/>
      <c r="Q156" s="15"/>
    </row>
    <row r="157" spans="1:17" hidden="1" x14ac:dyDescent="0.25">
      <c r="A157" t="s">
        <v>787</v>
      </c>
      <c r="B157" s="78">
        <v>0</v>
      </c>
      <c r="C157">
        <v>0</v>
      </c>
      <c r="G157" s="15" t="e">
        <f t="shared" si="12"/>
        <v>#N/A</v>
      </c>
    </row>
    <row r="158" spans="1:17" hidden="1" x14ac:dyDescent="0.25">
      <c r="A158" t="s">
        <v>788</v>
      </c>
      <c r="B158" s="78">
        <v>16457.150000000001</v>
      </c>
      <c r="C158">
        <v>18101.72</v>
      </c>
      <c r="G158" s="15" t="str">
        <f t="shared" si="12"/>
        <v>00109030505505</v>
      </c>
    </row>
    <row r="159" spans="1:17" hidden="1" x14ac:dyDescent="0.25">
      <c r="A159" t="s">
        <v>789</v>
      </c>
      <c r="B159" s="78">
        <v>7206.79</v>
      </c>
      <c r="C159">
        <v>5813.48</v>
      </c>
      <c r="G159" s="15" t="str">
        <f t="shared" si="12"/>
        <v>00109030505532</v>
      </c>
    </row>
    <row r="160" spans="1:17" hidden="1" x14ac:dyDescent="0.25">
      <c r="A160" t="s">
        <v>790</v>
      </c>
      <c r="B160" s="78">
        <v>3200.17</v>
      </c>
      <c r="C160">
        <v>7829.89</v>
      </c>
      <c r="G160" s="15" t="str">
        <f t="shared" si="12"/>
        <v>00109030505540</v>
      </c>
    </row>
    <row r="161" spans="1:7" hidden="1" x14ac:dyDescent="0.25">
      <c r="A161" t="s">
        <v>791</v>
      </c>
      <c r="B161" s="78">
        <v>767.85</v>
      </c>
      <c r="C161">
        <v>3768.68</v>
      </c>
      <c r="G161" s="15" t="str">
        <f t="shared" si="12"/>
        <v>00109030505550</v>
      </c>
    </row>
    <row r="162" spans="1:7" hidden="1" x14ac:dyDescent="0.25">
      <c r="A162" t="s">
        <v>792</v>
      </c>
      <c r="B162" s="78">
        <v>0</v>
      </c>
      <c r="C162">
        <v>0</v>
      </c>
      <c r="G162" s="15" t="str">
        <f t="shared" si="12"/>
        <v>00109030505602</v>
      </c>
    </row>
    <row r="163" spans="1:7" hidden="1" x14ac:dyDescent="0.25">
      <c r="A163" t="s">
        <v>793</v>
      </c>
      <c r="B163" s="78">
        <v>9410.52</v>
      </c>
      <c r="C163">
        <v>11242.28</v>
      </c>
      <c r="G163" s="15" t="str">
        <f t="shared" si="12"/>
        <v>00109030505701</v>
      </c>
    </row>
    <row r="164" spans="1:7" hidden="1" x14ac:dyDescent="0.25">
      <c r="A164" t="s">
        <v>794</v>
      </c>
      <c r="B164" s="78">
        <v>0</v>
      </c>
      <c r="C164">
        <v>0</v>
      </c>
      <c r="G164" s="15" t="str">
        <f t="shared" si="12"/>
        <v>00109030505710</v>
      </c>
    </row>
    <row r="165" spans="1:7" hidden="1" x14ac:dyDescent="0.25">
      <c r="A165" t="s">
        <v>795</v>
      </c>
      <c r="B165" s="78">
        <v>0</v>
      </c>
      <c r="C165">
        <v>0</v>
      </c>
      <c r="G165" s="15" t="str">
        <f t="shared" si="12"/>
        <v>00109030505715</v>
      </c>
    </row>
    <row r="166" spans="1:7" hidden="1" x14ac:dyDescent="0.25">
      <c r="A166" t="s">
        <v>796</v>
      </c>
      <c r="B166" s="78">
        <v>0</v>
      </c>
      <c r="C166">
        <v>0</v>
      </c>
      <c r="G166" s="15" t="e">
        <f t="shared" si="12"/>
        <v>#N/A</v>
      </c>
    </row>
    <row r="167" spans="1:7" hidden="1" x14ac:dyDescent="0.25">
      <c r="A167" t="s">
        <v>797</v>
      </c>
      <c r="B167" s="78">
        <v>0</v>
      </c>
      <c r="C167">
        <v>0</v>
      </c>
      <c r="G167" s="15" t="str">
        <f t="shared" si="12"/>
        <v>00109030505750</v>
      </c>
    </row>
    <row r="168" spans="1:7" hidden="1" x14ac:dyDescent="0.25">
      <c r="A168" t="s">
        <v>798</v>
      </c>
      <c r="B168" s="78">
        <v>468.08</v>
      </c>
      <c r="C168">
        <v>0</v>
      </c>
      <c r="G168" s="15" t="str">
        <f t="shared" si="12"/>
        <v>00109030505801</v>
      </c>
    </row>
    <row r="169" spans="1:7" hidden="1" x14ac:dyDescent="0.25">
      <c r="A169" t="s">
        <v>799</v>
      </c>
      <c r="B169" s="78">
        <v>0</v>
      </c>
      <c r="C169">
        <v>0</v>
      </c>
      <c r="G169" s="15" t="e">
        <f t="shared" si="12"/>
        <v>#N/A</v>
      </c>
    </row>
    <row r="170" spans="1:7" hidden="1" x14ac:dyDescent="0.25">
      <c r="A170" t="s">
        <v>800</v>
      </c>
      <c r="B170" s="78">
        <v>0</v>
      </c>
      <c r="C170">
        <v>0</v>
      </c>
      <c r="G170" s="15" t="e">
        <f t="shared" si="12"/>
        <v>#N/A</v>
      </c>
    </row>
    <row r="171" spans="1:7" hidden="1" x14ac:dyDescent="0.25">
      <c r="A171" t="s">
        <v>801</v>
      </c>
      <c r="B171" s="78">
        <v>0</v>
      </c>
      <c r="C171">
        <v>0</v>
      </c>
      <c r="G171" s="15" t="e">
        <f t="shared" si="12"/>
        <v>#N/A</v>
      </c>
    </row>
    <row r="172" spans="1:7" hidden="1" x14ac:dyDescent="0.25">
      <c r="A172" t="s">
        <v>802</v>
      </c>
      <c r="B172" s="78">
        <v>0</v>
      </c>
      <c r="C172">
        <v>0</v>
      </c>
      <c r="G172" s="15" t="e">
        <f t="shared" si="12"/>
        <v>#N/A</v>
      </c>
    </row>
    <row r="173" spans="1:7" hidden="1" x14ac:dyDescent="0.25">
      <c r="A173" t="s">
        <v>803</v>
      </c>
      <c r="B173" s="78">
        <v>0</v>
      </c>
      <c r="C173">
        <v>0</v>
      </c>
      <c r="G173" s="15" t="e">
        <f t="shared" si="12"/>
        <v>#N/A</v>
      </c>
    </row>
    <row r="174" spans="1:7" hidden="1" x14ac:dyDescent="0.25">
      <c r="A174" t="s">
        <v>804</v>
      </c>
      <c r="B174" s="78">
        <v>0</v>
      </c>
      <c r="C174">
        <v>0</v>
      </c>
      <c r="G174" s="15" t="e">
        <f t="shared" si="12"/>
        <v>#N/A</v>
      </c>
    </row>
    <row r="175" spans="1:7" hidden="1" x14ac:dyDescent="0.25">
      <c r="A175" t="s">
        <v>805</v>
      </c>
      <c r="B175" s="78">
        <v>0</v>
      </c>
      <c r="C175">
        <v>0</v>
      </c>
      <c r="G175" s="15" t="e">
        <f t="shared" si="12"/>
        <v>#N/A</v>
      </c>
    </row>
    <row r="176" spans="1:7" hidden="1" x14ac:dyDescent="0.25">
      <c r="A176" t="s">
        <v>806</v>
      </c>
      <c r="B176" s="78">
        <v>0</v>
      </c>
      <c r="C176">
        <v>0</v>
      </c>
      <c r="G176" s="15" t="e">
        <f t="shared" si="12"/>
        <v>#N/A</v>
      </c>
    </row>
    <row r="177" hidden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8" orientation="portrait" useFirstPageNumber="1" r:id="rId1"/>
  <headerFooter alignWithMargins="0"/>
  <rowBreaks count="1" manualBreakCount="1">
    <brk id="51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BEF9-A298-4DB7-A5E4-18B1B91F53A0}">
  <sheetPr>
    <tabColor rgb="FFDDDDFF"/>
  </sheetPr>
  <dimension ref="A1:V131"/>
  <sheetViews>
    <sheetView showGridLines="0" zoomScaleNormal="100" zoomScaleSheetLayoutView="100" workbookViewId="0">
      <pane ySplit="10" topLeftCell="A26" activePane="bottomLeft" state="frozen"/>
      <selection activeCell="R10" sqref="R10"/>
      <selection pane="bottomLeft" activeCell="M38" sqref="M38:M70"/>
    </sheetView>
  </sheetViews>
  <sheetFormatPr defaultColWidth="9.140625" defaultRowHeight="15" x14ac:dyDescent="0.25"/>
  <cols>
    <col min="1" max="1" width="35.28515625" style="15" customWidth="1"/>
    <col min="2" max="2" width="14.710937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15" hidden="1" customWidth="1"/>
    <col min="16" max="16" width="1.7109375" style="2" hidden="1" customWidth="1"/>
    <col min="17" max="17" width="9.7109375" style="15" hidden="1" customWidth="1"/>
    <col min="18" max="18" width="26.7109375" customWidth="1"/>
    <col min="20" max="20" width="2.5703125" customWidth="1"/>
    <col min="23" max="16384" width="9.140625" style="15"/>
  </cols>
  <sheetData>
    <row r="1" spans="1:18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8"/>
    </row>
    <row r="2" spans="1:18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18" ht="13.15" customHeight="1" x14ac:dyDescent="0.25">
      <c r="A3" s="205"/>
      <c r="B3" s="80"/>
      <c r="C3" s="8"/>
      <c r="D3" s="8"/>
      <c r="G3" s="8"/>
      <c r="I3" s="81"/>
      <c r="K3" s="8"/>
      <c r="M3" s="8"/>
      <c r="N3" s="8"/>
      <c r="O3" s="8"/>
      <c r="Q3" s="8"/>
    </row>
    <row r="4" spans="1:18" ht="13.15" customHeight="1" x14ac:dyDescent="0.25">
      <c r="A4" s="206" t="s">
        <v>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Q4" s="8"/>
    </row>
    <row r="5" spans="1:18" ht="13.15" customHeight="1" x14ac:dyDescent="0.25">
      <c r="A5" s="206" t="s">
        <v>807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Q5" s="8"/>
    </row>
    <row r="6" spans="1:18" ht="13.15" customHeight="1" x14ac:dyDescent="0.25">
      <c r="A6" s="206" t="s">
        <v>808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Q6" s="8"/>
    </row>
    <row r="7" spans="1:18" ht="13.15" customHeight="1" x14ac:dyDescent="0.25">
      <c r="A7" s="207"/>
      <c r="B7" s="85"/>
      <c r="C7" s="84"/>
      <c r="D7" s="84"/>
      <c r="E7" s="117"/>
      <c r="F7" s="110"/>
      <c r="G7" s="84"/>
      <c r="H7" s="110"/>
      <c r="I7" s="111"/>
      <c r="J7" s="110"/>
      <c r="K7" s="84"/>
      <c r="L7" s="110"/>
      <c r="M7" s="84"/>
      <c r="Q7" s="84"/>
    </row>
    <row r="8" spans="1:18" ht="12" customHeight="1" x14ac:dyDescent="0.25">
      <c r="K8" s="18"/>
      <c r="L8" s="21" t="s">
        <v>4</v>
      </c>
      <c r="M8" s="22">
        <f>'903 PLM&amp;O'!M8</f>
        <v>2027</v>
      </c>
      <c r="N8" s="22"/>
      <c r="O8" s="22"/>
      <c r="P8" s="22"/>
      <c r="Q8" s="22"/>
    </row>
    <row r="9" spans="1:18" ht="12" customHeight="1" x14ac:dyDescent="0.25">
      <c r="C9" s="24"/>
      <c r="D9" s="24"/>
      <c r="E9" s="25"/>
      <c r="G9" s="24">
        <f>'903 PLM&amp;O'!G9</f>
        <v>2024</v>
      </c>
      <c r="I9" s="24">
        <f>'903 PLM&amp;O'!I9</f>
        <v>2025</v>
      </c>
      <c r="K9" s="21">
        <f>'903 PLM&amp;O'!K9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18" ht="12" customHeight="1" x14ac:dyDescent="0.25">
      <c r="B10" s="27" t="s">
        <v>8</v>
      </c>
      <c r="C10" s="27" t="s">
        <v>9</v>
      </c>
      <c r="D10" s="27" t="s">
        <v>10</v>
      </c>
      <c r="E10" s="25"/>
      <c r="G10" s="27" t="s">
        <v>11</v>
      </c>
      <c r="I10" s="27" t="s">
        <v>11</v>
      </c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18" ht="13.5" customHeight="1" x14ac:dyDescent="0.25">
      <c r="A11" s="28" t="s">
        <v>16</v>
      </c>
      <c r="I11" s="15"/>
    </row>
    <row r="12" spans="1:18" ht="24.95" customHeight="1" x14ac:dyDescent="0.25">
      <c r="A12" s="92" t="s">
        <v>809</v>
      </c>
      <c r="B12" s="93" t="s">
        <v>810</v>
      </c>
      <c r="C12" s="208">
        <v>501201</v>
      </c>
      <c r="D12" s="208"/>
      <c r="E12" s="209" t="str">
        <f>_xlfn.CONCAT(B12,C12,D12)</f>
        <v>00109040501201</v>
      </c>
      <c r="F12" s="42" t="s">
        <v>811</v>
      </c>
      <c r="G12" s="34">
        <f>ROUND(IFERROR(VLOOKUP(_xlfn.CONCAT($B12,$C12,$D12),$A$80:$C$9996,3,FALSE),0),0)</f>
        <v>557449</v>
      </c>
      <c r="H12" s="42" t="s">
        <v>811</v>
      </c>
      <c r="I12" s="34">
        <f>ROUND(IFERROR(VLOOKUP(_xlfn.CONCAT($B12,$C12,$D12),$A$80:$C$9996,2,FALSE),0),0)</f>
        <v>564785</v>
      </c>
      <c r="J12" s="42" t="s">
        <v>811</v>
      </c>
      <c r="K12" s="45">
        <v>603193</v>
      </c>
      <c r="L12" s="42" t="s">
        <v>811</v>
      </c>
      <c r="M12" s="45">
        <f>'[1]Payroll Summary by Department'!C54</f>
        <v>603193</v>
      </c>
      <c r="N12" s="141" t="s">
        <v>811</v>
      </c>
      <c r="O12" s="45">
        <f>'[1]Payroll Summary by Department'!C54</f>
        <v>603193</v>
      </c>
      <c r="P12" s="141" t="s">
        <v>811</v>
      </c>
      <c r="Q12" s="45">
        <f>O12</f>
        <v>603193</v>
      </c>
    </row>
    <row r="13" spans="1:18" ht="13.5" customHeight="1" x14ac:dyDescent="0.25">
      <c r="A13" s="40" t="s">
        <v>21</v>
      </c>
      <c r="B13" s="93" t="s">
        <v>810</v>
      </c>
      <c r="C13" s="208">
        <v>501400</v>
      </c>
      <c r="D13" s="208"/>
      <c r="E13" s="209" t="str">
        <f t="shared" ref="E13:E68" si="0">_xlfn.CONCAT(B13,C13,D13)</f>
        <v>00109040501400</v>
      </c>
      <c r="G13" s="34">
        <f t="shared" ref="G13:G22" si="1">ROUND(IFERROR(VLOOKUP(_xlfn.CONCAT($B13,$C13,$D13),$A$80:$C$9996,3,FALSE),0),0)</f>
        <v>2215</v>
      </c>
      <c r="H13" s="43"/>
      <c r="I13" s="34">
        <f t="shared" ref="I13:I22" si="2">ROUND(IFERROR(VLOOKUP(_xlfn.CONCAT($B13,$C13,$D13),$A$80:$C$9996,2,FALSE),0),0)</f>
        <v>9346</v>
      </c>
      <c r="J13" s="43"/>
      <c r="K13" s="45">
        <v>3000</v>
      </c>
      <c r="L13" s="43"/>
      <c r="M13" s="45">
        <v>3000</v>
      </c>
      <c r="N13" s="44"/>
      <c r="O13" s="45">
        <f t="shared" ref="O13:O18" si="3">M13</f>
        <v>3000</v>
      </c>
      <c r="Q13" s="45">
        <f t="shared" ref="Q13:Q22" si="4">O13</f>
        <v>3000</v>
      </c>
    </row>
    <row r="14" spans="1:18" ht="13.5" customHeight="1" x14ac:dyDescent="0.25">
      <c r="A14" s="40" t="s">
        <v>22</v>
      </c>
      <c r="B14" s="93" t="s">
        <v>810</v>
      </c>
      <c r="C14" s="208">
        <v>501401</v>
      </c>
      <c r="D14" s="208"/>
      <c r="E14" s="209" t="str">
        <f t="shared" si="0"/>
        <v>00109040501401</v>
      </c>
      <c r="G14" s="34">
        <f t="shared" si="1"/>
        <v>0</v>
      </c>
      <c r="H14" s="43"/>
      <c r="I14" s="34">
        <f t="shared" si="2"/>
        <v>0</v>
      </c>
      <c r="J14" s="43">
        <f>+F14+H14</f>
        <v>0</v>
      </c>
      <c r="K14" s="45">
        <v>0</v>
      </c>
      <c r="L14" s="43"/>
      <c r="M14" s="45">
        <v>0</v>
      </c>
      <c r="N14" s="44"/>
      <c r="O14" s="45">
        <f t="shared" si="3"/>
        <v>0</v>
      </c>
      <c r="Q14" s="45">
        <f t="shared" si="4"/>
        <v>0</v>
      </c>
    </row>
    <row r="15" spans="1:18" ht="13.5" customHeight="1" x14ac:dyDescent="0.25">
      <c r="A15" s="40" t="s">
        <v>23</v>
      </c>
      <c r="B15" s="93" t="s">
        <v>810</v>
      </c>
      <c r="C15" s="208">
        <v>501600</v>
      </c>
      <c r="D15" s="208"/>
      <c r="E15" s="209" t="str">
        <f t="shared" si="0"/>
        <v>00109040501600</v>
      </c>
      <c r="G15" s="34">
        <f t="shared" si="1"/>
        <v>4819</v>
      </c>
      <c r="H15" s="43"/>
      <c r="I15" s="34">
        <f t="shared" si="2"/>
        <v>6281</v>
      </c>
      <c r="J15" s="43"/>
      <c r="K15" s="45">
        <v>11700</v>
      </c>
      <c r="L15" s="43"/>
      <c r="M15" s="45">
        <f>'[1]Payroll Summary by Department'!I54</f>
        <v>11700</v>
      </c>
      <c r="N15" s="44"/>
      <c r="O15" s="45">
        <f>M15</f>
        <v>11700</v>
      </c>
      <c r="Q15" s="45">
        <f t="shared" si="4"/>
        <v>11700</v>
      </c>
    </row>
    <row r="16" spans="1:18" ht="13.5" customHeight="1" x14ac:dyDescent="0.25">
      <c r="A16" s="40" t="s">
        <v>24</v>
      </c>
      <c r="B16" s="93" t="s">
        <v>810</v>
      </c>
      <c r="C16" s="41">
        <v>501701</v>
      </c>
      <c r="D16" s="41"/>
      <c r="E16" s="209" t="str">
        <f t="shared" si="0"/>
        <v>00109040501701</v>
      </c>
      <c r="G16" s="34">
        <f t="shared" si="1"/>
        <v>2408</v>
      </c>
      <c r="H16" s="43"/>
      <c r="I16" s="34">
        <f t="shared" si="2"/>
        <v>1931</v>
      </c>
      <c r="J16" s="43"/>
      <c r="K16" s="45">
        <v>2400</v>
      </c>
      <c r="L16" s="43"/>
      <c r="M16" s="45">
        <f>'[1]Payroll Summary by Department'!K54</f>
        <v>2400</v>
      </c>
      <c r="N16" s="44"/>
      <c r="O16" s="45">
        <f t="shared" si="3"/>
        <v>2400</v>
      </c>
      <c r="Q16" s="45">
        <f t="shared" si="4"/>
        <v>2400</v>
      </c>
    </row>
    <row r="17" spans="1:17" ht="13.5" customHeight="1" x14ac:dyDescent="0.25">
      <c r="A17" s="40" t="s">
        <v>25</v>
      </c>
      <c r="B17" s="93" t="s">
        <v>810</v>
      </c>
      <c r="C17" s="41">
        <v>501702</v>
      </c>
      <c r="D17" s="41"/>
      <c r="E17" s="209" t="str">
        <f t="shared" si="0"/>
        <v>00109040501702</v>
      </c>
      <c r="G17" s="34">
        <f t="shared" si="1"/>
        <v>1204</v>
      </c>
      <c r="H17" s="43"/>
      <c r="I17" s="34">
        <f t="shared" si="2"/>
        <v>1205</v>
      </c>
      <c r="J17" s="43"/>
      <c r="K17" s="45">
        <v>1200</v>
      </c>
      <c r="L17" s="43"/>
      <c r="M17" s="45">
        <f>'[1]Payroll Summary by Department'!L54</f>
        <v>1200</v>
      </c>
      <c r="N17" s="44"/>
      <c r="O17" s="45">
        <f t="shared" si="3"/>
        <v>1200</v>
      </c>
      <c r="Q17" s="45">
        <f t="shared" si="4"/>
        <v>1200</v>
      </c>
    </row>
    <row r="18" spans="1:17" ht="13.5" customHeight="1" x14ac:dyDescent="0.25">
      <c r="A18" s="40" t="s">
        <v>26</v>
      </c>
      <c r="B18" s="93" t="s">
        <v>810</v>
      </c>
      <c r="C18" s="41">
        <v>501800</v>
      </c>
      <c r="D18" s="41"/>
      <c r="E18" s="209" t="str">
        <f t="shared" si="0"/>
        <v>00109040501800</v>
      </c>
      <c r="G18" s="34">
        <f t="shared" si="1"/>
        <v>0</v>
      </c>
      <c r="H18" s="43"/>
      <c r="I18" s="34">
        <f t="shared" si="2"/>
        <v>0</v>
      </c>
      <c r="J18" s="43"/>
      <c r="K18" s="45">
        <v>100</v>
      </c>
      <c r="L18" s="67"/>
      <c r="M18" s="45">
        <v>100</v>
      </c>
      <c r="N18" s="44"/>
      <c r="O18" s="45">
        <f t="shared" si="3"/>
        <v>100</v>
      </c>
      <c r="Q18" s="45">
        <f t="shared" si="4"/>
        <v>100</v>
      </c>
    </row>
    <row r="19" spans="1:17" ht="13.5" customHeight="1" x14ac:dyDescent="0.25">
      <c r="A19" s="40" t="s">
        <v>27</v>
      </c>
      <c r="B19" s="93" t="s">
        <v>810</v>
      </c>
      <c r="C19" s="208">
        <v>502100</v>
      </c>
      <c r="D19" s="208"/>
      <c r="E19" s="209" t="str">
        <f t="shared" si="0"/>
        <v>00109040502100</v>
      </c>
      <c r="G19" s="34">
        <f t="shared" si="1"/>
        <v>43369</v>
      </c>
      <c r="H19" s="43"/>
      <c r="I19" s="34">
        <f t="shared" si="2"/>
        <v>44565</v>
      </c>
      <c r="J19" s="43"/>
      <c r="K19" s="45">
        <v>47253</v>
      </c>
      <c r="L19" s="43"/>
      <c r="M19" s="45">
        <f>'[1]Payroll Summary by Department'!N54</f>
        <v>47253</v>
      </c>
      <c r="N19" s="44"/>
      <c r="O19" s="45">
        <f>'[1]Payroll Summary by Department'!N54</f>
        <v>47253</v>
      </c>
      <c r="Q19" s="45">
        <f t="shared" si="4"/>
        <v>47253</v>
      </c>
    </row>
    <row r="20" spans="1:17" ht="13.5" customHeight="1" x14ac:dyDescent="0.25">
      <c r="A20" s="40" t="s">
        <v>28</v>
      </c>
      <c r="B20" s="93" t="s">
        <v>810</v>
      </c>
      <c r="C20" s="208">
        <v>502200</v>
      </c>
      <c r="D20" s="208"/>
      <c r="E20" s="209" t="str">
        <f t="shared" si="0"/>
        <v>00109040502200</v>
      </c>
      <c r="G20" s="34">
        <f t="shared" si="1"/>
        <v>56385</v>
      </c>
      <c r="H20" s="43"/>
      <c r="I20" s="34">
        <f t="shared" si="2"/>
        <v>55340</v>
      </c>
      <c r="J20" s="43"/>
      <c r="K20" s="45">
        <v>76715</v>
      </c>
      <c r="L20" s="43"/>
      <c r="M20" s="45">
        <f>'[1]Payroll Summary by Department'!O54+'[1]Payroll Summary by Department'!P54</f>
        <v>76715</v>
      </c>
      <c r="N20" s="44"/>
      <c r="O20" s="45">
        <f>'[1]Payroll Summary by Department'!O54+'[1]Payroll Summary by Department'!P54</f>
        <v>76715</v>
      </c>
      <c r="Q20" s="45">
        <f t="shared" si="4"/>
        <v>76715</v>
      </c>
    </row>
    <row r="21" spans="1:17" ht="13.5" customHeight="1" x14ac:dyDescent="0.25">
      <c r="A21" s="40" t="s">
        <v>29</v>
      </c>
      <c r="B21" s="93" t="s">
        <v>810</v>
      </c>
      <c r="C21" s="208">
        <v>502300</v>
      </c>
      <c r="D21" s="208"/>
      <c r="E21" s="209" t="str">
        <f t="shared" si="0"/>
        <v>00109040502300</v>
      </c>
      <c r="G21" s="34">
        <f t="shared" si="1"/>
        <v>104460</v>
      </c>
      <c r="H21" s="43"/>
      <c r="I21" s="34">
        <f t="shared" si="2"/>
        <v>99940</v>
      </c>
      <c r="J21" s="43"/>
      <c r="K21" s="45">
        <v>126698</v>
      </c>
      <c r="L21" s="43"/>
      <c r="M21" s="45">
        <f>'[1]Payroll Summary by Department'!Q54</f>
        <v>126698</v>
      </c>
      <c r="N21" s="44"/>
      <c r="O21" s="45">
        <f>'[1]Payroll Summary by Department'!Q54</f>
        <v>126698</v>
      </c>
      <c r="Q21" s="45">
        <f t="shared" si="4"/>
        <v>126698</v>
      </c>
    </row>
    <row r="22" spans="1:17" ht="13.5" customHeight="1" x14ac:dyDescent="0.25">
      <c r="A22" s="40" t="s">
        <v>30</v>
      </c>
      <c r="B22" s="93" t="s">
        <v>810</v>
      </c>
      <c r="C22" s="208">
        <v>502400</v>
      </c>
      <c r="D22" s="208"/>
      <c r="E22" s="209" t="str">
        <f t="shared" si="0"/>
        <v>00109040502400</v>
      </c>
      <c r="G22" s="34">
        <f t="shared" si="1"/>
        <v>1132</v>
      </c>
      <c r="H22" s="43"/>
      <c r="I22" s="34">
        <f t="shared" si="2"/>
        <v>1165</v>
      </c>
      <c r="J22" s="43"/>
      <c r="K22" s="97">
        <v>1141</v>
      </c>
      <c r="L22" s="43"/>
      <c r="M22" s="97">
        <f>'[1]Payroll Summary by Department'!R54</f>
        <v>1141</v>
      </c>
      <c r="N22" s="44"/>
      <c r="O22" s="45">
        <f>'[1]Payroll Summary by Department'!R54</f>
        <v>1141</v>
      </c>
      <c r="Q22" s="45">
        <f t="shared" si="4"/>
        <v>1141</v>
      </c>
    </row>
    <row r="23" spans="1:17" ht="24" customHeight="1" x14ac:dyDescent="0.25">
      <c r="A23" s="49" t="s">
        <v>31</v>
      </c>
      <c r="B23" s="50"/>
      <c r="E23" s="209" t="str">
        <f t="shared" si="0"/>
        <v/>
      </c>
      <c r="F23" s="42" t="s">
        <v>811</v>
      </c>
      <c r="G23" s="98">
        <f>SUM(G12:G22)</f>
        <v>773441</v>
      </c>
      <c r="H23" s="42" t="s">
        <v>811</v>
      </c>
      <c r="I23" s="98">
        <f>SUM(I12:I22)</f>
        <v>784558</v>
      </c>
      <c r="J23" s="42" t="s">
        <v>811</v>
      </c>
      <c r="K23" s="97">
        <f>SUM(K12:K22)</f>
        <v>873400</v>
      </c>
      <c r="L23" s="42" t="s">
        <v>811</v>
      </c>
      <c r="M23" s="97">
        <f>SUM(M12:M22)</f>
        <v>873400</v>
      </c>
      <c r="N23" s="141" t="s">
        <v>811</v>
      </c>
      <c r="O23" s="98">
        <f>SUM(O12:O22)</f>
        <v>873400</v>
      </c>
      <c r="P23" s="141" t="s">
        <v>811</v>
      </c>
      <c r="Q23" s="98">
        <f>SUM(Q12:Q22)</f>
        <v>873400</v>
      </c>
    </row>
    <row r="24" spans="1:17" ht="24" customHeight="1" x14ac:dyDescent="0.25">
      <c r="A24" s="210" t="s">
        <v>32</v>
      </c>
      <c r="E24" s="209" t="str">
        <f t="shared" si="0"/>
        <v/>
      </c>
      <c r="G24" s="45"/>
      <c r="I24" s="45"/>
      <c r="K24" s="45"/>
      <c r="M24" s="45"/>
      <c r="O24" s="45"/>
      <c r="Q24" s="45"/>
    </row>
    <row r="25" spans="1:17" ht="13.5" customHeight="1" x14ac:dyDescent="0.25">
      <c r="A25" s="100" t="s">
        <v>123</v>
      </c>
      <c r="B25" s="70"/>
      <c r="E25" s="209" t="str">
        <f t="shared" si="0"/>
        <v/>
      </c>
      <c r="G25" s="45"/>
      <c r="I25" s="45"/>
      <c r="K25" s="45"/>
      <c r="M25" s="45"/>
      <c r="O25" s="45"/>
      <c r="Q25" s="45"/>
    </row>
    <row r="26" spans="1:17" ht="13.5" customHeight="1" x14ac:dyDescent="0.25">
      <c r="A26" s="60" t="s">
        <v>812</v>
      </c>
      <c r="B26" s="61"/>
      <c r="C26" s="42" t="s">
        <v>813</v>
      </c>
      <c r="D26" s="42"/>
      <c r="E26" s="209" t="str">
        <f t="shared" si="0"/>
        <v>3D</v>
      </c>
      <c r="G26" s="129">
        <v>1</v>
      </c>
      <c r="H26" s="130"/>
      <c r="I26" s="129">
        <v>1</v>
      </c>
      <c r="K26" s="129">
        <v>1</v>
      </c>
      <c r="M26" s="129">
        <v>1</v>
      </c>
      <c r="O26" s="129">
        <f>M26</f>
        <v>1</v>
      </c>
      <c r="Q26" s="129">
        <f>O26</f>
        <v>1</v>
      </c>
    </row>
    <row r="27" spans="1:17" ht="13.5" customHeight="1" x14ac:dyDescent="0.25">
      <c r="A27" s="60" t="s">
        <v>814</v>
      </c>
      <c r="B27" s="61"/>
      <c r="C27" s="42" t="s">
        <v>815</v>
      </c>
      <c r="D27" s="42"/>
      <c r="E27" s="209" t="str">
        <f t="shared" si="0"/>
        <v>6C</v>
      </c>
      <c r="G27" s="129">
        <f t="shared" ref="G27" si="5">ROUND(S27,0)</f>
        <v>0</v>
      </c>
      <c r="H27" s="130"/>
      <c r="I27" s="129">
        <v>1</v>
      </c>
      <c r="K27" s="129">
        <v>1</v>
      </c>
      <c r="M27" s="129">
        <v>1</v>
      </c>
      <c r="O27" s="129">
        <f t="shared" ref="O27:O35" si="6">M27</f>
        <v>1</v>
      </c>
      <c r="Q27" s="129">
        <f t="shared" ref="Q27:Q35" si="7">O27</f>
        <v>1</v>
      </c>
    </row>
    <row r="28" spans="1:17" ht="13.5" customHeight="1" x14ac:dyDescent="0.25">
      <c r="A28" s="60" t="s">
        <v>816</v>
      </c>
      <c r="B28" s="61"/>
      <c r="C28" s="42" t="s">
        <v>715</v>
      </c>
      <c r="D28" s="42"/>
      <c r="E28" s="209" t="str">
        <f t="shared" si="0"/>
        <v>6B</v>
      </c>
      <c r="G28" s="129">
        <v>1</v>
      </c>
      <c r="H28" s="130"/>
      <c r="I28" s="129">
        <v>1</v>
      </c>
      <c r="K28" s="129">
        <v>1</v>
      </c>
      <c r="M28" s="129">
        <v>1</v>
      </c>
      <c r="O28" s="129">
        <f t="shared" si="6"/>
        <v>1</v>
      </c>
      <c r="Q28" s="129">
        <f t="shared" si="7"/>
        <v>1</v>
      </c>
    </row>
    <row r="29" spans="1:17" ht="13.5" customHeight="1" x14ac:dyDescent="0.25">
      <c r="A29" s="60" t="s">
        <v>817</v>
      </c>
      <c r="B29" s="61"/>
      <c r="C29" s="42" t="s">
        <v>818</v>
      </c>
      <c r="D29" s="42"/>
      <c r="E29" s="209" t="str">
        <f t="shared" si="0"/>
        <v>6A, 6B</v>
      </c>
      <c r="G29" s="129">
        <v>2</v>
      </c>
      <c r="H29" s="130"/>
      <c r="I29" s="129">
        <v>2</v>
      </c>
      <c r="K29" s="129">
        <v>2</v>
      </c>
      <c r="M29" s="129">
        <v>2</v>
      </c>
      <c r="O29" s="129">
        <f t="shared" si="6"/>
        <v>2</v>
      </c>
      <c r="Q29" s="129">
        <f t="shared" si="7"/>
        <v>2</v>
      </c>
    </row>
    <row r="30" spans="1:17" ht="13.5" customHeight="1" x14ac:dyDescent="0.25">
      <c r="A30" s="60" t="s">
        <v>819</v>
      </c>
      <c r="B30" s="61"/>
      <c r="C30" s="42" t="s">
        <v>715</v>
      </c>
      <c r="D30" s="42"/>
      <c r="E30" s="209" t="str">
        <f t="shared" si="0"/>
        <v>6B</v>
      </c>
      <c r="G30" s="129">
        <v>2</v>
      </c>
      <c r="H30" s="130"/>
      <c r="I30" s="129">
        <v>1</v>
      </c>
      <c r="K30" s="129">
        <v>1</v>
      </c>
      <c r="M30" s="129">
        <v>1</v>
      </c>
      <c r="O30" s="129">
        <f t="shared" si="6"/>
        <v>1</v>
      </c>
      <c r="Q30" s="129">
        <f t="shared" si="7"/>
        <v>1</v>
      </c>
    </row>
    <row r="31" spans="1:17" ht="13.5" customHeight="1" x14ac:dyDescent="0.25">
      <c r="A31" s="60" t="s">
        <v>820</v>
      </c>
      <c r="B31" s="61"/>
      <c r="C31" s="42" t="s">
        <v>715</v>
      </c>
      <c r="D31" s="42"/>
      <c r="E31" s="209" t="str">
        <f t="shared" si="0"/>
        <v>6B</v>
      </c>
      <c r="G31" s="129">
        <v>1</v>
      </c>
      <c r="H31" s="130"/>
      <c r="I31" s="129">
        <v>1</v>
      </c>
      <c r="K31" s="129">
        <v>1</v>
      </c>
      <c r="M31" s="129">
        <v>1</v>
      </c>
      <c r="O31" s="129">
        <f t="shared" si="6"/>
        <v>1</v>
      </c>
      <c r="Q31" s="129">
        <f t="shared" si="7"/>
        <v>1</v>
      </c>
    </row>
    <row r="32" spans="1:17" ht="13.5" customHeight="1" x14ac:dyDescent="0.25">
      <c r="A32" s="60" t="s">
        <v>821</v>
      </c>
      <c r="B32" s="61"/>
      <c r="C32" s="42" t="s">
        <v>324</v>
      </c>
      <c r="D32" s="42"/>
      <c r="E32" s="209" t="str">
        <f t="shared" si="0"/>
        <v>3A</v>
      </c>
      <c r="G32" s="129">
        <v>2</v>
      </c>
      <c r="H32" s="130"/>
      <c r="I32" s="129">
        <v>2</v>
      </c>
      <c r="K32" s="131">
        <v>1</v>
      </c>
      <c r="M32" s="131">
        <v>1</v>
      </c>
      <c r="O32" s="129">
        <v>1</v>
      </c>
      <c r="Q32" s="129">
        <f t="shared" si="7"/>
        <v>1</v>
      </c>
    </row>
    <row r="33" spans="1:17" ht="13.5" customHeight="1" x14ac:dyDescent="0.25">
      <c r="A33" s="60" t="s">
        <v>822</v>
      </c>
      <c r="B33" s="61"/>
      <c r="C33" s="42" t="s">
        <v>324</v>
      </c>
      <c r="D33" s="42"/>
      <c r="E33" s="209" t="str">
        <f t="shared" si="0"/>
        <v>3A</v>
      </c>
      <c r="G33" s="129">
        <v>1</v>
      </c>
      <c r="H33" s="130"/>
      <c r="I33" s="129">
        <v>1</v>
      </c>
      <c r="K33" s="131">
        <v>1</v>
      </c>
      <c r="M33" s="131">
        <v>1</v>
      </c>
      <c r="O33" s="129">
        <f t="shared" si="6"/>
        <v>1</v>
      </c>
      <c r="Q33" s="129">
        <f t="shared" si="7"/>
        <v>1</v>
      </c>
    </row>
    <row r="34" spans="1:17" ht="13.5" customHeight="1" x14ac:dyDescent="0.25">
      <c r="A34" s="60" t="s">
        <v>45</v>
      </c>
      <c r="B34" s="61"/>
      <c r="C34" s="42" t="s">
        <v>46</v>
      </c>
      <c r="D34" s="42"/>
      <c r="E34" s="209" t="str">
        <f t="shared" si="0"/>
        <v>4C</v>
      </c>
      <c r="G34" s="129">
        <v>1</v>
      </c>
      <c r="H34" s="130"/>
      <c r="I34" s="129">
        <v>1</v>
      </c>
      <c r="K34" s="131">
        <v>1</v>
      </c>
      <c r="M34" s="131">
        <v>1</v>
      </c>
      <c r="O34" s="129">
        <f t="shared" si="6"/>
        <v>1</v>
      </c>
      <c r="Q34" s="129">
        <f t="shared" si="7"/>
        <v>1</v>
      </c>
    </row>
    <row r="35" spans="1:17" ht="13.5" customHeight="1" x14ac:dyDescent="0.25">
      <c r="A35" s="60" t="s">
        <v>823</v>
      </c>
      <c r="B35" s="61"/>
      <c r="C35" s="42" t="s">
        <v>46</v>
      </c>
      <c r="D35" s="42"/>
      <c r="E35" s="209" t="str">
        <f t="shared" si="0"/>
        <v>4C</v>
      </c>
      <c r="G35" s="129">
        <v>1</v>
      </c>
      <c r="H35" s="130"/>
      <c r="I35" s="129">
        <v>1</v>
      </c>
      <c r="K35" s="129">
        <v>1</v>
      </c>
      <c r="M35" s="129">
        <v>1</v>
      </c>
      <c r="O35" s="129">
        <f t="shared" si="6"/>
        <v>1</v>
      </c>
      <c r="Q35" s="129">
        <f t="shared" si="7"/>
        <v>1</v>
      </c>
    </row>
    <row r="36" spans="1:17" ht="24" customHeight="1" thickBot="1" x14ac:dyDescent="0.3">
      <c r="A36" s="49" t="s">
        <v>332</v>
      </c>
      <c r="B36" s="50"/>
      <c r="E36" s="209" t="str">
        <f t="shared" si="0"/>
        <v/>
      </c>
      <c r="G36" s="147">
        <f>SUM(G26:G35)</f>
        <v>12</v>
      </c>
      <c r="I36" s="147">
        <f>SUM(I26:I35)</f>
        <v>12</v>
      </c>
      <c r="K36" s="147">
        <f>SUM(K26:K35)</f>
        <v>11</v>
      </c>
      <c r="M36" s="147">
        <f>SUM(M26:M35)</f>
        <v>11</v>
      </c>
      <c r="O36" s="147">
        <f>SUM(O26:O35)</f>
        <v>11</v>
      </c>
      <c r="Q36" s="147">
        <f>SUM(Q26:Q35)</f>
        <v>11</v>
      </c>
    </row>
    <row r="37" spans="1:17" ht="13.5" customHeight="1" thickTop="1" x14ac:dyDescent="0.25">
      <c r="A37" s="210" t="s">
        <v>52</v>
      </c>
      <c r="E37" s="209" t="str">
        <f t="shared" si="0"/>
        <v/>
      </c>
      <c r="G37" s="45"/>
      <c r="I37" s="45"/>
      <c r="K37" s="45"/>
      <c r="M37" s="45"/>
      <c r="O37" s="45"/>
      <c r="Q37" s="45"/>
    </row>
    <row r="38" spans="1:17" ht="13.5" customHeight="1" x14ac:dyDescent="0.25">
      <c r="A38" s="40" t="s">
        <v>824</v>
      </c>
      <c r="B38" s="93" t="s">
        <v>810</v>
      </c>
      <c r="C38" s="208">
        <v>503120</v>
      </c>
      <c r="D38" s="208"/>
      <c r="E38" s="209" t="str">
        <f t="shared" si="0"/>
        <v>00109040503120</v>
      </c>
      <c r="F38" s="42" t="s">
        <v>811</v>
      </c>
      <c r="G38" s="34">
        <f t="shared" ref="G38:G70" si="8">ROUND(IFERROR(VLOOKUP(_xlfn.CONCAT($B38,$C38,$D38),$A$80:$C$9996,3,FALSE),0),0)</f>
        <v>0</v>
      </c>
      <c r="H38" s="42" t="s">
        <v>811</v>
      </c>
      <c r="I38" s="34">
        <f t="shared" ref="I38:I70" si="9">ROUND(IFERROR(VLOOKUP(_xlfn.CONCAT($B38,$C38,$D38),$A$80:$C$9996,2,FALSE),0),0)</f>
        <v>1279</v>
      </c>
      <c r="J38" s="42" t="s">
        <v>811</v>
      </c>
      <c r="K38" s="45">
        <v>0</v>
      </c>
      <c r="L38" s="42" t="s">
        <v>811</v>
      </c>
      <c r="M38" s="234">
        <v>0</v>
      </c>
      <c r="N38" s="141" t="s">
        <v>811</v>
      </c>
      <c r="O38" s="45">
        <f>M38</f>
        <v>0</v>
      </c>
      <c r="P38" s="141" t="s">
        <v>811</v>
      </c>
      <c r="Q38" s="45">
        <f t="shared" ref="Q38:Q70" si="10">O38</f>
        <v>0</v>
      </c>
    </row>
    <row r="39" spans="1:17" ht="13.5" customHeight="1" x14ac:dyDescent="0.25">
      <c r="A39" s="40" t="s">
        <v>192</v>
      </c>
      <c r="B39" s="93" t="s">
        <v>810</v>
      </c>
      <c r="C39" s="211">
        <v>503140</v>
      </c>
      <c r="D39" s="211"/>
      <c r="E39" s="209" t="str">
        <f t="shared" si="0"/>
        <v>00109040503140</v>
      </c>
      <c r="G39" s="34">
        <f t="shared" si="8"/>
        <v>0</v>
      </c>
      <c r="H39" s="43"/>
      <c r="I39" s="34">
        <f t="shared" si="9"/>
        <v>0</v>
      </c>
      <c r="J39" s="43"/>
      <c r="K39" s="45">
        <v>0</v>
      </c>
      <c r="L39" s="43"/>
      <c r="M39" s="234">
        <v>0</v>
      </c>
      <c r="N39" s="44"/>
      <c r="O39" s="45">
        <f t="shared" ref="O39:O70" si="11">M39</f>
        <v>0</v>
      </c>
      <c r="Q39" s="45">
        <f t="shared" si="10"/>
        <v>0</v>
      </c>
    </row>
    <row r="40" spans="1:17" ht="13.5" customHeight="1" x14ac:dyDescent="0.25">
      <c r="A40" s="46" t="s">
        <v>53</v>
      </c>
      <c r="B40" s="93" t="s">
        <v>810</v>
      </c>
      <c r="C40" s="211">
        <v>503403</v>
      </c>
      <c r="D40" s="211"/>
      <c r="E40" s="209" t="str">
        <f t="shared" si="0"/>
        <v>00109040503403</v>
      </c>
      <c r="F40" s="42" t="s">
        <v>811</v>
      </c>
      <c r="G40" s="34">
        <f t="shared" si="8"/>
        <v>10443</v>
      </c>
      <c r="H40" s="42" t="s">
        <v>811</v>
      </c>
      <c r="I40" s="34">
        <f t="shared" si="9"/>
        <v>0</v>
      </c>
      <c r="J40" s="42" t="s">
        <v>811</v>
      </c>
      <c r="K40" s="45">
        <v>0</v>
      </c>
      <c r="L40" s="42" t="s">
        <v>811</v>
      </c>
      <c r="M40" s="234">
        <v>0</v>
      </c>
      <c r="N40" s="42" t="s">
        <v>811</v>
      </c>
      <c r="O40" s="45">
        <f t="shared" si="11"/>
        <v>0</v>
      </c>
      <c r="P40" s="42" t="s">
        <v>811</v>
      </c>
      <c r="Q40" s="45">
        <f t="shared" si="10"/>
        <v>0</v>
      </c>
    </row>
    <row r="41" spans="1:17" ht="13.5" customHeight="1" x14ac:dyDescent="0.25">
      <c r="A41" s="40" t="s">
        <v>226</v>
      </c>
      <c r="B41" s="93" t="s">
        <v>810</v>
      </c>
      <c r="C41" s="208">
        <v>503460</v>
      </c>
      <c r="D41" s="208"/>
      <c r="E41" s="209" t="str">
        <f t="shared" si="0"/>
        <v>00109040503460</v>
      </c>
      <c r="G41" s="34">
        <f t="shared" si="8"/>
        <v>1031</v>
      </c>
      <c r="H41" s="43"/>
      <c r="I41" s="34">
        <f t="shared" si="9"/>
        <v>1437</v>
      </c>
      <c r="J41" s="43"/>
      <c r="K41" s="45">
        <v>1500</v>
      </c>
      <c r="L41" s="43"/>
      <c r="M41" s="234">
        <v>1500</v>
      </c>
      <c r="N41" s="39"/>
      <c r="O41" s="45">
        <f t="shared" si="11"/>
        <v>1500</v>
      </c>
      <c r="Q41" s="45">
        <f t="shared" si="10"/>
        <v>1500</v>
      </c>
    </row>
    <row r="42" spans="1:17" ht="13.5" customHeight="1" x14ac:dyDescent="0.25">
      <c r="A42" s="40" t="s">
        <v>193</v>
      </c>
      <c r="B42" s="93" t="s">
        <v>810</v>
      </c>
      <c r="C42" s="208">
        <v>503499</v>
      </c>
      <c r="D42" s="208"/>
      <c r="E42" s="209" t="str">
        <f t="shared" si="0"/>
        <v>00109040503499</v>
      </c>
      <c r="G42" s="34">
        <f t="shared" si="8"/>
        <v>0</v>
      </c>
      <c r="H42" s="43"/>
      <c r="I42" s="34">
        <f t="shared" si="9"/>
        <v>0</v>
      </c>
      <c r="J42" s="43"/>
      <c r="K42" s="45">
        <v>0</v>
      </c>
      <c r="L42" s="43"/>
      <c r="M42" s="234">
        <v>0</v>
      </c>
      <c r="N42" s="39"/>
      <c r="O42" s="45">
        <f t="shared" si="11"/>
        <v>0</v>
      </c>
      <c r="Q42" s="45">
        <f t="shared" si="10"/>
        <v>0</v>
      </c>
    </row>
    <row r="43" spans="1:17" ht="13.5" customHeight="1" x14ac:dyDescent="0.25">
      <c r="A43" s="40" t="s">
        <v>59</v>
      </c>
      <c r="B43" s="93" t="s">
        <v>810</v>
      </c>
      <c r="C43" s="211">
        <v>503901</v>
      </c>
      <c r="D43" s="211"/>
      <c r="E43" s="209" t="str">
        <f t="shared" si="0"/>
        <v>00109040503901</v>
      </c>
      <c r="G43" s="34">
        <f t="shared" si="8"/>
        <v>0</v>
      </c>
      <c r="H43" s="43"/>
      <c r="I43" s="34">
        <f t="shared" si="9"/>
        <v>0</v>
      </c>
      <c r="J43" s="43"/>
      <c r="K43" s="45">
        <v>0</v>
      </c>
      <c r="L43" s="43"/>
      <c r="M43" s="234">
        <v>0</v>
      </c>
      <c r="N43" s="44"/>
      <c r="O43" s="45">
        <f t="shared" si="11"/>
        <v>0</v>
      </c>
      <c r="Q43" s="45">
        <f t="shared" si="10"/>
        <v>0</v>
      </c>
    </row>
    <row r="44" spans="1:17" ht="13.5" customHeight="1" x14ac:dyDescent="0.25">
      <c r="A44" s="40" t="s">
        <v>730</v>
      </c>
      <c r="B44" s="93" t="s">
        <v>810</v>
      </c>
      <c r="C44" s="208"/>
      <c r="D44" s="208"/>
      <c r="E44" s="209" t="str">
        <f t="shared" si="0"/>
        <v>00109040</v>
      </c>
      <c r="G44" s="34">
        <f t="shared" si="8"/>
        <v>0</v>
      </c>
      <c r="H44" s="43"/>
      <c r="I44" s="34">
        <f t="shared" si="9"/>
        <v>0</v>
      </c>
      <c r="J44" s="43"/>
      <c r="K44" s="45">
        <v>0</v>
      </c>
      <c r="L44" s="43"/>
      <c r="M44" s="234">
        <v>0</v>
      </c>
      <c r="N44" s="44"/>
      <c r="O44" s="45">
        <f t="shared" si="11"/>
        <v>0</v>
      </c>
      <c r="Q44" s="45">
        <f t="shared" si="10"/>
        <v>0</v>
      </c>
    </row>
    <row r="45" spans="1:17" ht="13.5" customHeight="1" x14ac:dyDescent="0.25">
      <c r="A45" s="40" t="s">
        <v>339</v>
      </c>
      <c r="B45" s="93" t="s">
        <v>810</v>
      </c>
      <c r="C45" s="208"/>
      <c r="D45" s="208"/>
      <c r="E45" s="209" t="str">
        <f t="shared" si="0"/>
        <v>00109040</v>
      </c>
      <c r="G45" s="34">
        <f t="shared" si="8"/>
        <v>0</v>
      </c>
      <c r="H45" s="43"/>
      <c r="I45" s="34">
        <f t="shared" si="9"/>
        <v>0</v>
      </c>
      <c r="J45" s="43"/>
      <c r="K45" s="45">
        <v>0</v>
      </c>
      <c r="L45" s="43"/>
      <c r="M45" s="234">
        <v>0</v>
      </c>
      <c r="N45" s="44"/>
      <c r="O45" s="45">
        <f t="shared" si="11"/>
        <v>0</v>
      </c>
      <c r="Q45" s="45">
        <f t="shared" si="10"/>
        <v>0</v>
      </c>
    </row>
    <row r="46" spans="1:17" ht="13.5" customHeight="1" x14ac:dyDescent="0.25">
      <c r="A46" s="40" t="s">
        <v>61</v>
      </c>
      <c r="B46" s="93" t="s">
        <v>810</v>
      </c>
      <c r="C46" s="41">
        <v>504060</v>
      </c>
      <c r="D46" s="41"/>
      <c r="E46" s="209" t="str">
        <f t="shared" si="0"/>
        <v>00109040504060</v>
      </c>
      <c r="G46" s="34">
        <f t="shared" si="8"/>
        <v>1386</v>
      </c>
      <c r="H46" s="43"/>
      <c r="I46" s="34">
        <f t="shared" si="9"/>
        <v>1675</v>
      </c>
      <c r="J46" s="43"/>
      <c r="K46" s="45">
        <v>2000</v>
      </c>
      <c r="L46" s="43"/>
      <c r="M46" s="234">
        <v>2000</v>
      </c>
      <c r="N46" s="39"/>
      <c r="O46" s="45">
        <f t="shared" si="11"/>
        <v>2000</v>
      </c>
      <c r="Q46" s="45">
        <f t="shared" si="10"/>
        <v>2000</v>
      </c>
    </row>
    <row r="47" spans="1:17" ht="13.5" customHeight="1" x14ac:dyDescent="0.25">
      <c r="A47" s="40" t="s">
        <v>62</v>
      </c>
      <c r="B47" s="93" t="s">
        <v>810</v>
      </c>
      <c r="C47" s="192">
        <v>504070</v>
      </c>
      <c r="D47" s="192"/>
      <c r="E47" s="209" t="str">
        <f t="shared" si="0"/>
        <v>00109040504070</v>
      </c>
      <c r="G47" s="34">
        <f t="shared" si="8"/>
        <v>1734</v>
      </c>
      <c r="H47" s="43"/>
      <c r="I47" s="34">
        <f t="shared" si="9"/>
        <v>2866</v>
      </c>
      <c r="J47" s="43"/>
      <c r="K47" s="45">
        <v>2500</v>
      </c>
      <c r="L47" s="43"/>
      <c r="M47" s="234">
        <v>2500</v>
      </c>
      <c r="N47" s="39"/>
      <c r="O47" s="45">
        <f t="shared" si="11"/>
        <v>2500</v>
      </c>
      <c r="Q47" s="45">
        <f t="shared" si="10"/>
        <v>2500</v>
      </c>
    </row>
    <row r="48" spans="1:17" ht="13.5" customHeight="1" x14ac:dyDescent="0.25">
      <c r="A48" s="40" t="s">
        <v>65</v>
      </c>
      <c r="B48" s="93" t="s">
        <v>810</v>
      </c>
      <c r="C48" s="208">
        <v>504401</v>
      </c>
      <c r="D48" s="208"/>
      <c r="E48" s="209" t="str">
        <f t="shared" si="0"/>
        <v>00109040504401</v>
      </c>
      <c r="G48" s="34">
        <f t="shared" si="8"/>
        <v>2067</v>
      </c>
      <c r="H48" s="43"/>
      <c r="I48" s="34">
        <f t="shared" si="9"/>
        <v>2028</v>
      </c>
      <c r="J48" s="43"/>
      <c r="K48" s="45">
        <v>2100</v>
      </c>
      <c r="L48" s="43"/>
      <c r="M48" s="234">
        <v>2100</v>
      </c>
      <c r="N48" s="44"/>
      <c r="O48" s="45">
        <f t="shared" si="11"/>
        <v>2100</v>
      </c>
      <c r="Q48" s="45">
        <f t="shared" si="10"/>
        <v>2100</v>
      </c>
    </row>
    <row r="49" spans="1:17" ht="13.5" customHeight="1" x14ac:dyDescent="0.25">
      <c r="A49" s="40" t="s">
        <v>127</v>
      </c>
      <c r="B49" s="93" t="s">
        <v>810</v>
      </c>
      <c r="C49" s="208">
        <v>504430</v>
      </c>
      <c r="D49" s="208"/>
      <c r="E49" s="209" t="str">
        <f t="shared" si="0"/>
        <v>00109040504430</v>
      </c>
      <c r="G49" s="34">
        <f t="shared" si="8"/>
        <v>0</v>
      </c>
      <c r="H49" s="43"/>
      <c r="I49" s="34">
        <f t="shared" si="9"/>
        <v>162</v>
      </c>
      <c r="J49" s="43"/>
      <c r="K49" s="45">
        <v>1500</v>
      </c>
      <c r="L49" s="43"/>
      <c r="M49" s="234">
        <v>1500</v>
      </c>
      <c r="N49" s="44"/>
      <c r="O49" s="45">
        <f t="shared" si="11"/>
        <v>1500</v>
      </c>
      <c r="Q49" s="45">
        <f t="shared" si="10"/>
        <v>1500</v>
      </c>
    </row>
    <row r="50" spans="1:17" ht="13.5" customHeight="1" x14ac:dyDescent="0.25">
      <c r="A50" s="40" t="s">
        <v>128</v>
      </c>
      <c r="B50" s="93" t="s">
        <v>810</v>
      </c>
      <c r="C50" s="208">
        <v>504601</v>
      </c>
      <c r="D50" s="208"/>
      <c r="E50" s="209" t="str">
        <f t="shared" si="0"/>
        <v>00109040504601</v>
      </c>
      <c r="G50" s="34">
        <f t="shared" si="8"/>
        <v>0</v>
      </c>
      <c r="H50" s="43"/>
      <c r="I50" s="34">
        <f t="shared" si="9"/>
        <v>0</v>
      </c>
      <c r="J50" s="43"/>
      <c r="K50" s="45">
        <v>0</v>
      </c>
      <c r="L50" s="43"/>
      <c r="M50" s="234">
        <v>0</v>
      </c>
      <c r="N50" s="44"/>
      <c r="O50" s="45">
        <f t="shared" si="11"/>
        <v>0</v>
      </c>
      <c r="Q50" s="45">
        <f t="shared" si="10"/>
        <v>0</v>
      </c>
    </row>
    <row r="51" spans="1:17" ht="13.5" customHeight="1" x14ac:dyDescent="0.25">
      <c r="A51" s="40" t="s">
        <v>135</v>
      </c>
      <c r="B51" s="93" t="s">
        <v>810</v>
      </c>
      <c r="C51" s="211">
        <v>504620</v>
      </c>
      <c r="D51" s="211"/>
      <c r="E51" s="209" t="str">
        <f t="shared" si="0"/>
        <v>00109040504620</v>
      </c>
      <c r="G51" s="34">
        <f t="shared" si="8"/>
        <v>9864</v>
      </c>
      <c r="H51" s="43"/>
      <c r="I51" s="34">
        <f t="shared" si="9"/>
        <v>4868</v>
      </c>
      <c r="J51" s="43"/>
      <c r="K51" s="45">
        <v>0</v>
      </c>
      <c r="L51" s="43"/>
      <c r="M51" s="234">
        <v>0</v>
      </c>
      <c r="N51" s="44"/>
      <c r="O51" s="45">
        <f t="shared" si="11"/>
        <v>0</v>
      </c>
      <c r="Q51" s="45">
        <f t="shared" si="10"/>
        <v>0</v>
      </c>
    </row>
    <row r="52" spans="1:17" ht="13.5" customHeight="1" x14ac:dyDescent="0.25">
      <c r="A52" s="60" t="s">
        <v>825</v>
      </c>
      <c r="B52" s="93" t="s">
        <v>810</v>
      </c>
      <c r="C52" s="211"/>
      <c r="D52" s="211"/>
      <c r="E52" s="209" t="str">
        <f t="shared" si="0"/>
        <v>00109040</v>
      </c>
      <c r="G52" s="34">
        <f t="shared" si="8"/>
        <v>0</v>
      </c>
      <c r="H52" s="43"/>
      <c r="I52" s="34">
        <f t="shared" si="9"/>
        <v>0</v>
      </c>
      <c r="J52" s="43"/>
      <c r="K52" s="45">
        <v>5500</v>
      </c>
      <c r="L52" s="43"/>
      <c r="M52" s="234">
        <v>5500</v>
      </c>
      <c r="N52" s="44"/>
      <c r="O52" s="45">
        <f t="shared" si="11"/>
        <v>5500</v>
      </c>
      <c r="Q52" s="45">
        <f t="shared" si="10"/>
        <v>5500</v>
      </c>
    </row>
    <row r="53" spans="1:17" ht="13.5" customHeight="1" x14ac:dyDescent="0.25">
      <c r="A53" s="40" t="s">
        <v>231</v>
      </c>
      <c r="B53" s="93" t="s">
        <v>810</v>
      </c>
      <c r="C53" s="211">
        <v>504680</v>
      </c>
      <c r="D53" s="211"/>
      <c r="E53" s="209" t="str">
        <f t="shared" si="0"/>
        <v>00109040504680</v>
      </c>
      <c r="G53" s="34">
        <f t="shared" si="8"/>
        <v>5121</v>
      </c>
      <c r="H53" s="43"/>
      <c r="I53" s="34">
        <f t="shared" si="9"/>
        <v>1741</v>
      </c>
      <c r="J53" s="43"/>
      <c r="K53" s="45">
        <v>10000</v>
      </c>
      <c r="L53" s="43"/>
      <c r="M53" s="234">
        <v>10000</v>
      </c>
      <c r="N53" s="44"/>
      <c r="O53" s="45">
        <f t="shared" si="11"/>
        <v>10000</v>
      </c>
      <c r="Q53" s="45">
        <f t="shared" si="10"/>
        <v>10000</v>
      </c>
    </row>
    <row r="54" spans="1:17" ht="13.5" customHeight="1" x14ac:dyDescent="0.25">
      <c r="A54" s="40" t="s">
        <v>826</v>
      </c>
      <c r="B54" s="93" t="s">
        <v>810</v>
      </c>
      <c r="C54" s="208">
        <v>504690</v>
      </c>
      <c r="D54" s="208"/>
      <c r="E54" s="209" t="str">
        <f t="shared" si="0"/>
        <v>00109040504690</v>
      </c>
      <c r="G54" s="34">
        <f t="shared" si="8"/>
        <v>94473</v>
      </c>
      <c r="H54" s="43"/>
      <c r="I54" s="34">
        <f t="shared" si="9"/>
        <v>84081</v>
      </c>
      <c r="J54" s="43"/>
      <c r="K54" s="45">
        <v>80000</v>
      </c>
      <c r="L54" s="43"/>
      <c r="M54" s="234">
        <v>80000</v>
      </c>
      <c r="N54" s="44"/>
      <c r="O54" s="45">
        <f t="shared" si="11"/>
        <v>80000</v>
      </c>
      <c r="Q54" s="45">
        <f t="shared" si="10"/>
        <v>80000</v>
      </c>
    </row>
    <row r="55" spans="1:17" ht="13.5" customHeight="1" x14ac:dyDescent="0.25">
      <c r="A55" s="40" t="s">
        <v>194</v>
      </c>
      <c r="B55" s="93" t="s">
        <v>810</v>
      </c>
      <c r="C55" s="208">
        <v>504710</v>
      </c>
      <c r="D55" s="208"/>
      <c r="E55" s="209" t="str">
        <f t="shared" si="0"/>
        <v>00109040504710</v>
      </c>
      <c r="G55" s="34">
        <f t="shared" si="8"/>
        <v>324</v>
      </c>
      <c r="H55" s="43"/>
      <c r="I55" s="34">
        <f t="shared" si="9"/>
        <v>138</v>
      </c>
      <c r="J55" s="43"/>
      <c r="K55" s="45">
        <v>400</v>
      </c>
      <c r="L55" s="43"/>
      <c r="M55" s="234">
        <v>400</v>
      </c>
      <c r="N55" s="44"/>
      <c r="O55" s="45">
        <f t="shared" si="11"/>
        <v>400</v>
      </c>
      <c r="Q55" s="45">
        <f t="shared" si="10"/>
        <v>400</v>
      </c>
    </row>
    <row r="56" spans="1:17" ht="13.5" customHeight="1" x14ac:dyDescent="0.25">
      <c r="A56" s="40" t="s">
        <v>68</v>
      </c>
      <c r="B56" s="93" t="s">
        <v>810</v>
      </c>
      <c r="C56" s="208">
        <v>505101</v>
      </c>
      <c r="D56" s="208"/>
      <c r="E56" s="209" t="str">
        <f t="shared" si="0"/>
        <v>00109040505101</v>
      </c>
      <c r="G56" s="34">
        <f t="shared" si="8"/>
        <v>0</v>
      </c>
      <c r="H56" s="43"/>
      <c r="I56" s="34">
        <f t="shared" si="9"/>
        <v>0</v>
      </c>
      <c r="J56" s="43"/>
      <c r="K56" s="45">
        <v>0</v>
      </c>
      <c r="L56" s="43"/>
      <c r="M56" s="234">
        <v>0</v>
      </c>
      <c r="N56" s="44"/>
      <c r="O56" s="45">
        <f t="shared" si="11"/>
        <v>0</v>
      </c>
      <c r="Q56" s="45">
        <f t="shared" si="10"/>
        <v>0</v>
      </c>
    </row>
    <row r="57" spans="1:17" ht="13.5" customHeight="1" x14ac:dyDescent="0.25">
      <c r="A57" s="40" t="s">
        <v>69</v>
      </c>
      <c r="B57" s="93" t="s">
        <v>810</v>
      </c>
      <c r="C57" s="208">
        <v>505201</v>
      </c>
      <c r="D57" s="208"/>
      <c r="E57" s="209" t="str">
        <f t="shared" si="0"/>
        <v>00109040505201</v>
      </c>
      <c r="G57" s="34">
        <f t="shared" si="8"/>
        <v>9094</v>
      </c>
      <c r="H57" s="43"/>
      <c r="I57" s="34">
        <f t="shared" si="9"/>
        <v>6749</v>
      </c>
      <c r="J57" s="43"/>
      <c r="K57" s="45">
        <v>12000</v>
      </c>
      <c r="L57" s="43"/>
      <c r="M57" s="234">
        <v>12000</v>
      </c>
      <c r="N57" s="44"/>
      <c r="O57" s="45">
        <f t="shared" si="11"/>
        <v>12000</v>
      </c>
      <c r="Q57" s="45">
        <f t="shared" si="10"/>
        <v>12000</v>
      </c>
    </row>
    <row r="58" spans="1:17" ht="13.5" customHeight="1" x14ac:dyDescent="0.25">
      <c r="A58" s="40" t="s">
        <v>827</v>
      </c>
      <c r="B58" s="93" t="s">
        <v>810</v>
      </c>
      <c r="C58" s="208">
        <v>505270</v>
      </c>
      <c r="D58" s="208"/>
      <c r="E58" s="209" t="str">
        <f t="shared" si="0"/>
        <v>00109040505270</v>
      </c>
      <c r="G58" s="34">
        <f t="shared" si="8"/>
        <v>275239</v>
      </c>
      <c r="H58" s="43"/>
      <c r="I58" s="34">
        <f t="shared" si="9"/>
        <v>251258</v>
      </c>
      <c r="J58" s="43"/>
      <c r="K58" s="45">
        <v>250000</v>
      </c>
      <c r="L58" s="43"/>
      <c r="M58" s="234">
        <v>250000</v>
      </c>
      <c r="N58" s="44"/>
      <c r="O58" s="45">
        <f t="shared" si="11"/>
        <v>250000</v>
      </c>
      <c r="Q58" s="45">
        <f t="shared" si="10"/>
        <v>250000</v>
      </c>
    </row>
    <row r="59" spans="1:17" ht="13.5" customHeight="1" x14ac:dyDescent="0.25">
      <c r="A59" s="40" t="s">
        <v>71</v>
      </c>
      <c r="B59" s="93" t="s">
        <v>810</v>
      </c>
      <c r="C59" s="208">
        <v>505401</v>
      </c>
      <c r="D59" s="208"/>
      <c r="E59" s="209" t="str">
        <f t="shared" si="0"/>
        <v>00109040505401</v>
      </c>
      <c r="G59" s="34">
        <f t="shared" si="8"/>
        <v>549</v>
      </c>
      <c r="H59" s="43"/>
      <c r="I59" s="34">
        <f t="shared" si="9"/>
        <v>199</v>
      </c>
      <c r="J59" s="43"/>
      <c r="K59" s="45">
        <v>1350</v>
      </c>
      <c r="L59" s="43"/>
      <c r="M59" s="234">
        <v>1350</v>
      </c>
      <c r="N59" s="44"/>
      <c r="O59" s="45">
        <f t="shared" si="11"/>
        <v>1350</v>
      </c>
      <c r="Q59" s="45">
        <f t="shared" si="10"/>
        <v>1350</v>
      </c>
    </row>
    <row r="60" spans="1:17" ht="13.5" customHeight="1" x14ac:dyDescent="0.25">
      <c r="A60" s="40" t="s">
        <v>368</v>
      </c>
      <c r="B60" s="93" t="s">
        <v>810</v>
      </c>
      <c r="C60" s="69"/>
      <c r="D60" s="69"/>
      <c r="E60" s="209" t="str">
        <f t="shared" si="0"/>
        <v>00109040</v>
      </c>
      <c r="G60" s="34">
        <f t="shared" si="8"/>
        <v>0</v>
      </c>
      <c r="H60" s="43"/>
      <c r="I60" s="34">
        <f t="shared" si="9"/>
        <v>0</v>
      </c>
      <c r="J60" s="43"/>
      <c r="K60" s="45">
        <v>0</v>
      </c>
      <c r="L60" s="43"/>
      <c r="M60" s="234">
        <v>0</v>
      </c>
      <c r="N60" s="44"/>
      <c r="O60" s="45">
        <f t="shared" si="11"/>
        <v>0</v>
      </c>
      <c r="Q60" s="45">
        <f t="shared" si="10"/>
        <v>0</v>
      </c>
    </row>
    <row r="61" spans="1:17" ht="13.5" customHeight="1" x14ac:dyDescent="0.25">
      <c r="A61" s="40" t="s">
        <v>143</v>
      </c>
      <c r="B61" s="93" t="s">
        <v>810</v>
      </c>
      <c r="C61" s="69">
        <v>505505</v>
      </c>
      <c r="D61" s="69"/>
      <c r="E61" s="209" t="str">
        <f t="shared" si="0"/>
        <v>00109040505505</v>
      </c>
      <c r="G61" s="34">
        <f t="shared" si="8"/>
        <v>6729</v>
      </c>
      <c r="H61" s="43"/>
      <c r="I61" s="34">
        <f t="shared" si="9"/>
        <v>6494</v>
      </c>
      <c r="J61" s="43"/>
      <c r="K61" s="45">
        <v>7800</v>
      </c>
      <c r="L61" s="43"/>
      <c r="M61" s="234">
        <v>7800</v>
      </c>
      <c r="N61" s="45"/>
      <c r="O61" s="45">
        <f t="shared" si="11"/>
        <v>7800</v>
      </c>
      <c r="Q61" s="45">
        <f t="shared" si="10"/>
        <v>7800</v>
      </c>
    </row>
    <row r="62" spans="1:17" ht="13.5" customHeight="1" x14ac:dyDescent="0.25">
      <c r="A62" s="40" t="s">
        <v>144</v>
      </c>
      <c r="B62" s="93" t="s">
        <v>810</v>
      </c>
      <c r="C62" s="69">
        <v>505532</v>
      </c>
      <c r="D62" s="69"/>
      <c r="E62" s="209" t="str">
        <f t="shared" si="0"/>
        <v>00109040505532</v>
      </c>
      <c r="G62" s="34">
        <f t="shared" si="8"/>
        <v>1245</v>
      </c>
      <c r="H62" s="43"/>
      <c r="I62" s="34">
        <f t="shared" si="9"/>
        <v>1622</v>
      </c>
      <c r="J62" s="43"/>
      <c r="K62" s="45">
        <v>2500</v>
      </c>
      <c r="L62" s="43"/>
      <c r="M62" s="234">
        <v>2500</v>
      </c>
      <c r="N62" s="45"/>
      <c r="O62" s="45">
        <f t="shared" si="11"/>
        <v>2500</v>
      </c>
      <c r="Q62" s="45">
        <f t="shared" si="10"/>
        <v>2500</v>
      </c>
    </row>
    <row r="63" spans="1:17" ht="13.5" customHeight="1" x14ac:dyDescent="0.25">
      <c r="A63" s="40" t="s">
        <v>145</v>
      </c>
      <c r="B63" s="93" t="s">
        <v>810</v>
      </c>
      <c r="C63" s="69">
        <v>505540</v>
      </c>
      <c r="D63" s="69"/>
      <c r="E63" s="209" t="str">
        <f t="shared" si="0"/>
        <v>00109040505540</v>
      </c>
      <c r="G63" s="34">
        <f t="shared" si="8"/>
        <v>0</v>
      </c>
      <c r="H63" s="43"/>
      <c r="I63" s="34">
        <f t="shared" si="9"/>
        <v>86</v>
      </c>
      <c r="J63" s="43"/>
      <c r="K63" s="45">
        <v>200</v>
      </c>
      <c r="L63" s="43"/>
      <c r="M63" s="234">
        <v>200</v>
      </c>
      <c r="N63" s="45"/>
      <c r="O63" s="45">
        <f t="shared" si="11"/>
        <v>200</v>
      </c>
      <c r="Q63" s="45">
        <f t="shared" si="10"/>
        <v>200</v>
      </c>
    </row>
    <row r="64" spans="1:17" ht="13.5" customHeight="1" x14ac:dyDescent="0.25">
      <c r="A64" s="40" t="s">
        <v>72</v>
      </c>
      <c r="B64" s="93" t="s">
        <v>810</v>
      </c>
      <c r="C64" s="41">
        <v>505550</v>
      </c>
      <c r="D64" s="41"/>
      <c r="E64" s="209" t="str">
        <f t="shared" si="0"/>
        <v>00109040505550</v>
      </c>
      <c r="F64" s="67"/>
      <c r="G64" s="34">
        <f t="shared" si="8"/>
        <v>1320</v>
      </c>
      <c r="H64" s="43"/>
      <c r="I64" s="34">
        <f t="shared" si="9"/>
        <v>113</v>
      </c>
      <c r="J64" s="43"/>
      <c r="K64" s="113">
        <v>2200</v>
      </c>
      <c r="L64" s="43"/>
      <c r="M64" s="238">
        <v>2200</v>
      </c>
      <c r="N64" s="113"/>
      <c r="O64" s="45">
        <f t="shared" si="11"/>
        <v>2200</v>
      </c>
      <c r="Q64" s="45">
        <f t="shared" si="10"/>
        <v>2200</v>
      </c>
    </row>
    <row r="65" spans="1:17" ht="13.5" customHeight="1" x14ac:dyDescent="0.25">
      <c r="A65" s="40" t="s">
        <v>828</v>
      </c>
      <c r="B65" s="93" t="s">
        <v>810</v>
      </c>
      <c r="C65" s="208">
        <v>505601</v>
      </c>
      <c r="D65" s="208"/>
      <c r="E65" s="209" t="str">
        <f t="shared" si="0"/>
        <v>00109040505601</v>
      </c>
      <c r="G65" s="34">
        <f t="shared" si="8"/>
        <v>322668</v>
      </c>
      <c r="H65" s="43"/>
      <c r="I65" s="34">
        <f t="shared" si="9"/>
        <v>319882</v>
      </c>
      <c r="J65" s="43"/>
      <c r="K65" s="45">
        <v>450000</v>
      </c>
      <c r="L65" s="43"/>
      <c r="M65" s="234">
        <v>450000</v>
      </c>
      <c r="N65" s="45"/>
      <c r="O65" s="45">
        <f t="shared" si="11"/>
        <v>450000</v>
      </c>
      <c r="Q65" s="45">
        <f t="shared" si="10"/>
        <v>450000</v>
      </c>
    </row>
    <row r="66" spans="1:17" ht="13.5" customHeight="1" x14ac:dyDescent="0.25">
      <c r="A66" s="40" t="s">
        <v>146</v>
      </c>
      <c r="B66" s="93" t="s">
        <v>810</v>
      </c>
      <c r="C66" s="208">
        <v>505602</v>
      </c>
      <c r="D66" s="208"/>
      <c r="E66" s="209" t="str">
        <f t="shared" si="0"/>
        <v>00109040505602</v>
      </c>
      <c r="G66" s="34">
        <f t="shared" si="8"/>
        <v>1629</v>
      </c>
      <c r="H66" s="43"/>
      <c r="I66" s="34">
        <f t="shared" si="9"/>
        <v>1958</v>
      </c>
      <c r="J66" s="43"/>
      <c r="K66" s="45">
        <v>3000</v>
      </c>
      <c r="L66" s="43"/>
      <c r="M66" s="234">
        <v>3000</v>
      </c>
      <c r="N66" s="45"/>
      <c r="O66" s="45">
        <f t="shared" si="11"/>
        <v>3000</v>
      </c>
      <c r="Q66" s="45">
        <f t="shared" si="10"/>
        <v>3000</v>
      </c>
    </row>
    <row r="67" spans="1:17" ht="13.5" customHeight="1" x14ac:dyDescent="0.25">
      <c r="A67" s="40" t="s">
        <v>829</v>
      </c>
      <c r="B67" s="93" t="s">
        <v>810</v>
      </c>
      <c r="C67" s="208">
        <v>505701</v>
      </c>
      <c r="D67" s="208"/>
      <c r="E67" s="209" t="str">
        <f t="shared" si="0"/>
        <v>00109040505701</v>
      </c>
      <c r="G67" s="34">
        <f>ROUND(IFERROR(VLOOKUP(_xlfn.CONCAT($B67,$C67,$D67),$A$80:$C$9996,3,FALSE),0),0)+1</f>
        <v>11529</v>
      </c>
      <c r="H67" s="43"/>
      <c r="I67" s="34">
        <f>ROUND(IFERROR(VLOOKUP(_xlfn.CONCAT($B67,$C67,$D67),$A$80:$C$9996,2,FALSE),0),0)-1</f>
        <v>11003</v>
      </c>
      <c r="J67" s="43"/>
      <c r="K67" s="45">
        <v>12000</v>
      </c>
      <c r="L67" s="43"/>
      <c r="M67" s="234">
        <v>12000</v>
      </c>
      <c r="N67" s="44"/>
      <c r="O67" s="45">
        <f t="shared" si="11"/>
        <v>12000</v>
      </c>
      <c r="Q67" s="45">
        <f t="shared" si="10"/>
        <v>12000</v>
      </c>
    </row>
    <row r="68" spans="1:17" ht="13.5" customHeight="1" x14ac:dyDescent="0.25">
      <c r="A68" s="40" t="s">
        <v>74</v>
      </c>
      <c r="B68" s="93" t="s">
        <v>810</v>
      </c>
      <c r="C68" s="211">
        <v>505801</v>
      </c>
      <c r="D68" s="211"/>
      <c r="E68" s="209" t="str">
        <f t="shared" si="0"/>
        <v>00109040505801</v>
      </c>
      <c r="G68" s="34">
        <f t="shared" si="8"/>
        <v>0</v>
      </c>
      <c r="H68" s="43"/>
      <c r="I68" s="34">
        <f t="shared" si="9"/>
        <v>0</v>
      </c>
      <c r="J68" s="43"/>
      <c r="K68" s="45">
        <v>0</v>
      </c>
      <c r="L68" s="43"/>
      <c r="M68" s="234">
        <v>0</v>
      </c>
      <c r="N68" s="44"/>
      <c r="O68" s="45">
        <f t="shared" si="11"/>
        <v>0</v>
      </c>
      <c r="Q68" s="45">
        <f t="shared" si="10"/>
        <v>0</v>
      </c>
    </row>
    <row r="69" spans="1:17" ht="13.5" customHeight="1" x14ac:dyDescent="0.25">
      <c r="A69" s="60" t="s">
        <v>830</v>
      </c>
      <c r="B69" s="61"/>
      <c r="C69" s="211"/>
      <c r="D69" s="211"/>
      <c r="E69" s="212"/>
      <c r="G69" s="34">
        <f t="shared" si="8"/>
        <v>0</v>
      </c>
      <c r="H69" s="43"/>
      <c r="I69" s="34">
        <f t="shared" si="9"/>
        <v>0</v>
      </c>
      <c r="J69" s="43"/>
      <c r="K69" s="45">
        <v>3000</v>
      </c>
      <c r="L69" s="43"/>
      <c r="M69" s="234">
        <v>3000</v>
      </c>
      <c r="N69" s="44"/>
      <c r="O69" s="45">
        <f t="shared" si="11"/>
        <v>3000</v>
      </c>
      <c r="Q69" s="45">
        <f t="shared" si="10"/>
        <v>3000</v>
      </c>
    </row>
    <row r="70" spans="1:17" ht="13.5" customHeight="1" x14ac:dyDescent="0.25">
      <c r="A70" s="60" t="s">
        <v>831</v>
      </c>
      <c r="B70" s="61"/>
      <c r="C70" s="211"/>
      <c r="D70" s="211"/>
      <c r="E70" s="212"/>
      <c r="G70" s="34">
        <f t="shared" si="8"/>
        <v>0</v>
      </c>
      <c r="H70" s="43"/>
      <c r="I70" s="34">
        <f t="shared" si="9"/>
        <v>0</v>
      </c>
      <c r="J70" s="43"/>
      <c r="K70" s="45">
        <v>350</v>
      </c>
      <c r="L70" s="43"/>
      <c r="M70" s="234">
        <v>350</v>
      </c>
      <c r="N70" s="44"/>
      <c r="O70" s="45">
        <f t="shared" si="11"/>
        <v>350</v>
      </c>
      <c r="Q70" s="45">
        <f t="shared" si="10"/>
        <v>350</v>
      </c>
    </row>
    <row r="71" spans="1:17" ht="13.5" customHeight="1" x14ac:dyDescent="0.25">
      <c r="A71" s="40"/>
      <c r="B71" s="70"/>
      <c r="C71" s="211"/>
      <c r="D71" s="211"/>
      <c r="E71" s="212"/>
      <c r="G71" s="45"/>
      <c r="H71" s="43"/>
      <c r="I71" s="45"/>
      <c r="J71" s="43"/>
      <c r="K71" s="45"/>
      <c r="L71" s="43"/>
      <c r="M71" s="45"/>
      <c r="N71" s="44"/>
      <c r="O71" s="45"/>
      <c r="Q71" s="45"/>
    </row>
    <row r="72" spans="1:17" ht="24" customHeight="1" x14ac:dyDescent="0.25">
      <c r="A72" s="49" t="s">
        <v>75</v>
      </c>
      <c r="B72" s="50"/>
      <c r="F72" s="42" t="s">
        <v>811</v>
      </c>
      <c r="G72" s="98">
        <f>SUM(G38:G71)</f>
        <v>756445</v>
      </c>
      <c r="H72" s="42" t="s">
        <v>811</v>
      </c>
      <c r="I72" s="98">
        <f>SUM(I38:I71)</f>
        <v>699639</v>
      </c>
      <c r="J72" s="42" t="s">
        <v>811</v>
      </c>
      <c r="K72" s="98">
        <f>SUM(K38:K71)</f>
        <v>849900</v>
      </c>
      <c r="L72" s="42" t="s">
        <v>811</v>
      </c>
      <c r="M72" s="98">
        <f>SUM(M38:M71)</f>
        <v>849900</v>
      </c>
      <c r="N72" s="42" t="s">
        <v>811</v>
      </c>
      <c r="O72" s="98">
        <f>SUM(O38:O71)</f>
        <v>849900</v>
      </c>
      <c r="P72" s="42" t="s">
        <v>811</v>
      </c>
      <c r="Q72" s="98">
        <f>SUM(Q38:Q71)</f>
        <v>849900</v>
      </c>
    </row>
    <row r="73" spans="1:17" ht="24" customHeight="1" thickBot="1" x14ac:dyDescent="0.3">
      <c r="A73" s="210" t="s">
        <v>76</v>
      </c>
      <c r="F73" s="42" t="s">
        <v>811</v>
      </c>
      <c r="G73" s="109">
        <f>+G23+G72</f>
        <v>1529886</v>
      </c>
      <c r="H73" s="42" t="s">
        <v>811</v>
      </c>
      <c r="I73" s="109">
        <f>+I23+I72</f>
        <v>1484197</v>
      </c>
      <c r="J73" s="42" t="s">
        <v>811</v>
      </c>
      <c r="K73" s="109">
        <f>+K23+K72</f>
        <v>1723300</v>
      </c>
      <c r="L73" s="42" t="s">
        <v>811</v>
      </c>
      <c r="M73" s="109">
        <f>+M23+M72</f>
        <v>1723300</v>
      </c>
      <c r="N73" s="141" t="s">
        <v>811</v>
      </c>
      <c r="O73" s="109">
        <f>+O23+O72</f>
        <v>1723300</v>
      </c>
      <c r="P73" s="141" t="s">
        <v>811</v>
      </c>
      <c r="Q73" s="109">
        <f>+Q23+Q72</f>
        <v>1723300</v>
      </c>
    </row>
    <row r="74" spans="1:17" ht="15.75" thickTop="1" x14ac:dyDescent="0.25">
      <c r="A74" s="193"/>
      <c r="I74" s="15"/>
    </row>
    <row r="75" spans="1:17" hidden="1" x14ac:dyDescent="0.25">
      <c r="A75" s="28" t="s">
        <v>77</v>
      </c>
      <c r="G75" s="76">
        <v>1529886</v>
      </c>
      <c r="I75" s="76">
        <v>1484197</v>
      </c>
      <c r="J75" s="113"/>
    </row>
    <row r="76" spans="1:17" hidden="1" x14ac:dyDescent="0.25">
      <c r="A76" s="28" t="s">
        <v>78</v>
      </c>
      <c r="G76" s="44">
        <f>G73-G75</f>
        <v>0</v>
      </c>
      <c r="H76" s="43"/>
      <c r="I76" s="44">
        <f>I73-I75</f>
        <v>0</v>
      </c>
      <c r="J76" s="113"/>
    </row>
    <row r="77" spans="1:17" hidden="1" x14ac:dyDescent="0.25">
      <c r="A77" s="193"/>
      <c r="H77" s="113"/>
      <c r="I77" s="15"/>
      <c r="J77" s="113"/>
      <c r="P77" s="15"/>
    </row>
    <row r="78" spans="1:17" hidden="1" x14ac:dyDescent="0.25">
      <c r="A78" s="193"/>
      <c r="H78" s="113"/>
      <c r="I78" s="15"/>
      <c r="J78" s="113"/>
    </row>
    <row r="79" spans="1:17" hidden="1" x14ac:dyDescent="0.25">
      <c r="A79" s="193"/>
      <c r="B79" s="29" t="s">
        <v>79</v>
      </c>
      <c r="C79" s="15" t="s">
        <v>80</v>
      </c>
      <c r="G79" s="77" t="s">
        <v>81</v>
      </c>
      <c r="H79" s="113"/>
      <c r="I79" s="15"/>
      <c r="J79" s="113"/>
    </row>
    <row r="80" spans="1:17" hidden="1" x14ac:dyDescent="0.25">
      <c r="A80" s="193" t="s">
        <v>832</v>
      </c>
      <c r="B80" s="29">
        <v>564784.92000000004</v>
      </c>
      <c r="C80" s="15">
        <v>557448.93000000005</v>
      </c>
      <c r="G80" s="15" t="str">
        <f>VLOOKUP(A80,E:E,1,FALSE)</f>
        <v>00109040501201</v>
      </c>
      <c r="H80" s="113"/>
      <c r="I80" s="15"/>
      <c r="J80" s="113"/>
    </row>
    <row r="81" spans="1:17" hidden="1" x14ac:dyDescent="0.25">
      <c r="A81" s="193" t="s">
        <v>833</v>
      </c>
      <c r="B81" s="29">
        <v>9345.81</v>
      </c>
      <c r="C81" s="15">
        <v>2215.34</v>
      </c>
      <c r="G81" s="15" t="str">
        <f t="shared" ref="G81:G130" si="12">VLOOKUP(A81,E:E,1,FALSE)</f>
        <v>00109040501400</v>
      </c>
      <c r="H81" s="113"/>
      <c r="I81" s="15"/>
      <c r="J81" s="113"/>
    </row>
    <row r="82" spans="1:17" hidden="1" x14ac:dyDescent="0.25">
      <c r="A82" s="193" t="s">
        <v>834</v>
      </c>
      <c r="B82" s="29">
        <v>0</v>
      </c>
      <c r="C82" s="15">
        <v>0</v>
      </c>
      <c r="G82" s="15" t="str">
        <f t="shared" si="12"/>
        <v>00109040501401</v>
      </c>
      <c r="H82" s="113"/>
      <c r="I82" s="15"/>
      <c r="J82" s="113"/>
    </row>
    <row r="83" spans="1:17" hidden="1" x14ac:dyDescent="0.25">
      <c r="A83" s="193" t="s">
        <v>835</v>
      </c>
      <c r="B83" s="29">
        <v>6281.21</v>
      </c>
      <c r="C83" s="15">
        <v>4818.79</v>
      </c>
      <c r="G83" s="15" t="str">
        <f t="shared" si="12"/>
        <v>00109040501600</v>
      </c>
      <c r="H83" s="113"/>
      <c r="I83" s="15"/>
      <c r="J83" s="113"/>
    </row>
    <row r="84" spans="1:17" hidden="1" x14ac:dyDescent="0.25">
      <c r="A84" s="193" t="s">
        <v>836</v>
      </c>
      <c r="B84" s="29">
        <v>1930.71</v>
      </c>
      <c r="C84" s="15">
        <v>2407.86</v>
      </c>
      <c r="G84" s="15" t="str">
        <f t="shared" si="12"/>
        <v>00109040501701</v>
      </c>
      <c r="H84" s="113"/>
      <c r="I84" s="15"/>
      <c r="J84" s="113"/>
    </row>
    <row r="85" spans="1:17" hidden="1" x14ac:dyDescent="0.25">
      <c r="A85" s="193" t="s">
        <v>837</v>
      </c>
      <c r="B85" s="29">
        <v>1205.2</v>
      </c>
      <c r="C85" s="15">
        <v>1204.26</v>
      </c>
      <c r="G85" s="15" t="str">
        <f t="shared" si="12"/>
        <v>00109040501702</v>
      </c>
      <c r="H85" s="113"/>
      <c r="I85" s="15"/>
      <c r="J85" s="113"/>
    </row>
    <row r="86" spans="1:17" hidden="1" x14ac:dyDescent="0.25">
      <c r="A86" s="193" t="s">
        <v>838</v>
      </c>
      <c r="B86" s="29">
        <v>0</v>
      </c>
      <c r="C86" s="15">
        <v>0</v>
      </c>
      <c r="G86" s="15" t="str">
        <f t="shared" si="12"/>
        <v>00109040501800</v>
      </c>
      <c r="I86" s="15"/>
    </row>
    <row r="87" spans="1:17" hidden="1" x14ac:dyDescent="0.25">
      <c r="A87" s="193" t="s">
        <v>839</v>
      </c>
      <c r="B87" s="29">
        <v>44565.11</v>
      </c>
      <c r="C87" s="15">
        <v>43368.77</v>
      </c>
      <c r="G87" s="15" t="str">
        <f t="shared" si="12"/>
        <v>00109040502100</v>
      </c>
      <c r="I87" s="15"/>
    </row>
    <row r="88" spans="1:17" hidden="1" x14ac:dyDescent="0.25">
      <c r="A88" s="193" t="s">
        <v>840</v>
      </c>
      <c r="B88" s="29">
        <v>0</v>
      </c>
      <c r="C88" s="15">
        <v>0</v>
      </c>
      <c r="G88" s="15" t="e">
        <f t="shared" si="12"/>
        <v>#N/A</v>
      </c>
      <c r="I88" s="15"/>
    </row>
    <row r="89" spans="1:17" hidden="1" x14ac:dyDescent="0.25">
      <c r="A89" s="193" t="s">
        <v>841</v>
      </c>
      <c r="B89" s="29">
        <v>55340.06</v>
      </c>
      <c r="C89" s="15">
        <v>56384.59</v>
      </c>
      <c r="G89" s="15" t="str">
        <f t="shared" si="12"/>
        <v>00109040502200</v>
      </c>
      <c r="I89" s="15"/>
    </row>
    <row r="90" spans="1:17" hidden="1" x14ac:dyDescent="0.25">
      <c r="A90" s="193" t="s">
        <v>842</v>
      </c>
      <c r="B90" s="29">
        <v>99940.07</v>
      </c>
      <c r="C90" s="15">
        <v>104460.17</v>
      </c>
      <c r="G90" s="15" t="str">
        <f t="shared" si="12"/>
        <v>00109040502300</v>
      </c>
      <c r="I90" s="15"/>
    </row>
    <row r="91" spans="1:17" hidden="1" x14ac:dyDescent="0.25">
      <c r="A91" s="193" t="s">
        <v>843</v>
      </c>
      <c r="B91" s="29">
        <v>1165.26</v>
      </c>
      <c r="C91" s="15">
        <v>1132.22</v>
      </c>
      <c r="G91" s="15" t="str">
        <f t="shared" si="12"/>
        <v>00109040502400</v>
      </c>
      <c r="I91" s="15"/>
    </row>
    <row r="92" spans="1:17" hidden="1" x14ac:dyDescent="0.25">
      <c r="A92" s="193" t="s">
        <v>844</v>
      </c>
      <c r="B92" s="29">
        <v>1278.71</v>
      </c>
      <c r="C92" s="15">
        <v>0</v>
      </c>
      <c r="G92" s="15" t="str">
        <f t="shared" si="12"/>
        <v>00109040503120</v>
      </c>
      <c r="I92" s="15"/>
    </row>
    <row r="93" spans="1:17" hidden="1" x14ac:dyDescent="0.25">
      <c r="A93" s="193" t="s">
        <v>845</v>
      </c>
      <c r="B93" s="29">
        <v>0</v>
      </c>
      <c r="C93" s="15">
        <v>0</v>
      </c>
      <c r="G93" s="15" t="str">
        <f t="shared" si="12"/>
        <v>00109040503140</v>
      </c>
      <c r="I93" s="113"/>
      <c r="K93" s="113"/>
      <c r="M93" s="113"/>
      <c r="O93" s="113"/>
      <c r="Q93" s="113"/>
    </row>
    <row r="94" spans="1:17" hidden="1" x14ac:dyDescent="0.25">
      <c r="A94" s="193" t="s">
        <v>846</v>
      </c>
      <c r="B94" s="29">
        <v>0</v>
      </c>
      <c r="C94" s="15">
        <v>10442.6</v>
      </c>
      <c r="G94" s="15" t="str">
        <f t="shared" si="12"/>
        <v>00109040503403</v>
      </c>
      <c r="I94" s="113"/>
      <c r="K94" s="113"/>
      <c r="M94" s="113"/>
      <c r="O94" s="113"/>
      <c r="Q94" s="113"/>
    </row>
    <row r="95" spans="1:17" hidden="1" x14ac:dyDescent="0.25">
      <c r="A95" s="193" t="s">
        <v>847</v>
      </c>
      <c r="B95" s="29">
        <v>1436.93</v>
      </c>
      <c r="C95" s="15">
        <v>1031.45</v>
      </c>
      <c r="G95" s="15" t="str">
        <f t="shared" si="12"/>
        <v>00109040503460</v>
      </c>
      <c r="I95" s="113"/>
      <c r="K95" s="113"/>
      <c r="M95" s="113"/>
      <c r="O95" s="113"/>
      <c r="Q95" s="113"/>
    </row>
    <row r="96" spans="1:17" hidden="1" x14ac:dyDescent="0.25">
      <c r="A96" s="193" t="s">
        <v>848</v>
      </c>
      <c r="B96" s="29">
        <v>0</v>
      </c>
      <c r="C96" s="15">
        <v>0</v>
      </c>
      <c r="G96" s="15" t="str">
        <f t="shared" si="12"/>
        <v>00109040503499</v>
      </c>
      <c r="I96" s="113"/>
      <c r="K96" s="113"/>
      <c r="M96" s="113"/>
      <c r="O96" s="113"/>
      <c r="Q96" s="113"/>
    </row>
    <row r="97" spans="1:17" hidden="1" x14ac:dyDescent="0.25">
      <c r="A97" s="15" t="s">
        <v>849</v>
      </c>
      <c r="B97" s="29">
        <v>0</v>
      </c>
      <c r="C97" s="15">
        <v>0</v>
      </c>
      <c r="G97" s="15" t="str">
        <f t="shared" si="12"/>
        <v>00109040503901</v>
      </c>
      <c r="I97" s="113"/>
      <c r="K97" s="113"/>
      <c r="M97" s="113"/>
      <c r="O97" s="113"/>
      <c r="Q97" s="113"/>
    </row>
    <row r="98" spans="1:17" hidden="1" x14ac:dyDescent="0.25">
      <c r="A98" s="15" t="s">
        <v>850</v>
      </c>
      <c r="B98" s="29">
        <v>0</v>
      </c>
      <c r="C98" s="15">
        <v>0</v>
      </c>
      <c r="G98" s="15" t="e">
        <f t="shared" si="12"/>
        <v>#N/A</v>
      </c>
      <c r="I98" s="113"/>
      <c r="K98" s="113"/>
      <c r="M98" s="113"/>
      <c r="O98" s="113"/>
      <c r="Q98" s="113"/>
    </row>
    <row r="99" spans="1:17" hidden="1" x14ac:dyDescent="0.25">
      <c r="A99" s="15" t="s">
        <v>851</v>
      </c>
      <c r="B99" s="29">
        <v>0</v>
      </c>
      <c r="C99" s="15">
        <v>0</v>
      </c>
      <c r="G99" s="15" t="e">
        <f t="shared" si="12"/>
        <v>#N/A</v>
      </c>
    </row>
    <row r="100" spans="1:17" hidden="1" x14ac:dyDescent="0.25">
      <c r="A100" s="15" t="s">
        <v>852</v>
      </c>
      <c r="B100" s="29">
        <v>0</v>
      </c>
      <c r="C100" s="15">
        <v>0</v>
      </c>
      <c r="G100" s="15" t="e">
        <f t="shared" si="12"/>
        <v>#N/A</v>
      </c>
    </row>
    <row r="101" spans="1:17" hidden="1" x14ac:dyDescent="0.25">
      <c r="A101" s="15" t="s">
        <v>853</v>
      </c>
      <c r="B101" s="29">
        <v>0</v>
      </c>
      <c r="C101" s="15">
        <v>0</v>
      </c>
      <c r="G101" s="15" t="e">
        <f t="shared" si="12"/>
        <v>#N/A</v>
      </c>
    </row>
    <row r="102" spans="1:17" hidden="1" x14ac:dyDescent="0.25">
      <c r="A102" s="15" t="s">
        <v>854</v>
      </c>
      <c r="B102" s="29">
        <v>1675.07</v>
      </c>
      <c r="C102" s="15">
        <v>1386.05</v>
      </c>
      <c r="G102" s="15" t="str">
        <f t="shared" si="12"/>
        <v>00109040504060</v>
      </c>
    </row>
    <row r="103" spans="1:17" hidden="1" x14ac:dyDescent="0.25">
      <c r="A103" s="15" t="s">
        <v>855</v>
      </c>
      <c r="B103" s="29">
        <v>2865.9</v>
      </c>
      <c r="C103" s="15">
        <v>1734.1</v>
      </c>
      <c r="G103" s="15" t="str">
        <f t="shared" si="12"/>
        <v>00109040504070</v>
      </c>
    </row>
    <row r="104" spans="1:17" hidden="1" x14ac:dyDescent="0.25">
      <c r="A104" s="15" t="s">
        <v>856</v>
      </c>
      <c r="B104" s="29">
        <v>2028</v>
      </c>
      <c r="C104" s="15">
        <v>2067</v>
      </c>
      <c r="G104" s="15" t="str">
        <f t="shared" si="12"/>
        <v>00109040504401</v>
      </c>
    </row>
    <row r="105" spans="1:17" hidden="1" x14ac:dyDescent="0.25">
      <c r="A105" s="15" t="s">
        <v>857</v>
      </c>
      <c r="B105" s="29">
        <v>162</v>
      </c>
      <c r="C105" s="15">
        <v>0</v>
      </c>
      <c r="G105" s="15" t="str">
        <f t="shared" si="12"/>
        <v>00109040504430</v>
      </c>
    </row>
    <row r="106" spans="1:17" hidden="1" x14ac:dyDescent="0.25">
      <c r="A106" s="15" t="s">
        <v>858</v>
      </c>
      <c r="B106" s="29">
        <v>0</v>
      </c>
      <c r="C106" s="15">
        <v>0</v>
      </c>
      <c r="G106" s="15" t="str">
        <f t="shared" si="12"/>
        <v>00109040504601</v>
      </c>
    </row>
    <row r="107" spans="1:17" hidden="1" x14ac:dyDescent="0.25">
      <c r="A107" s="15" t="s">
        <v>859</v>
      </c>
      <c r="B107" s="29">
        <v>4868.3</v>
      </c>
      <c r="C107" s="15">
        <v>9864.33</v>
      </c>
      <c r="G107" s="15" t="str">
        <f t="shared" si="12"/>
        <v>00109040504620</v>
      </c>
    </row>
    <row r="108" spans="1:17" hidden="1" x14ac:dyDescent="0.25">
      <c r="A108" s="15" t="s">
        <v>860</v>
      </c>
      <c r="B108" s="29">
        <v>1740.69</v>
      </c>
      <c r="C108" s="15">
        <v>5121.43</v>
      </c>
      <c r="G108" s="15" t="str">
        <f t="shared" si="12"/>
        <v>00109040504680</v>
      </c>
    </row>
    <row r="109" spans="1:17" hidden="1" x14ac:dyDescent="0.25">
      <c r="A109" s="15" t="s">
        <v>861</v>
      </c>
      <c r="B109" s="29">
        <v>84080.63</v>
      </c>
      <c r="C109" s="15">
        <v>94473.13</v>
      </c>
      <c r="G109" s="15" t="str">
        <f t="shared" si="12"/>
        <v>00109040504690</v>
      </c>
    </row>
    <row r="110" spans="1:17" hidden="1" x14ac:dyDescent="0.25">
      <c r="A110" s="15" t="s">
        <v>862</v>
      </c>
      <c r="B110" s="29">
        <v>138.44999999999999</v>
      </c>
      <c r="C110" s="15">
        <v>323.61</v>
      </c>
      <c r="G110" s="15" t="str">
        <f t="shared" si="12"/>
        <v>00109040504710</v>
      </c>
    </row>
    <row r="111" spans="1:17" hidden="1" x14ac:dyDescent="0.25">
      <c r="A111" s="15" t="s">
        <v>863</v>
      </c>
      <c r="B111" s="29">
        <v>0</v>
      </c>
      <c r="C111" s="15">
        <v>0</v>
      </c>
      <c r="G111" s="15" t="e">
        <f t="shared" si="12"/>
        <v>#N/A</v>
      </c>
    </row>
    <row r="112" spans="1:17" hidden="1" x14ac:dyDescent="0.25">
      <c r="A112" s="15" t="s">
        <v>864</v>
      </c>
      <c r="B112" s="29">
        <v>0</v>
      </c>
      <c r="C112" s="15">
        <v>0</v>
      </c>
      <c r="G112" s="15" t="str">
        <f t="shared" si="12"/>
        <v>00109040505101</v>
      </c>
    </row>
    <row r="113" spans="1:7" hidden="1" x14ac:dyDescent="0.25">
      <c r="A113" s="15" t="s">
        <v>865</v>
      </c>
      <c r="B113" s="29">
        <v>6748.83</v>
      </c>
      <c r="C113" s="15">
        <v>9093.93</v>
      </c>
      <c r="G113" s="15" t="str">
        <f t="shared" si="12"/>
        <v>00109040505201</v>
      </c>
    </row>
    <row r="114" spans="1:7" hidden="1" x14ac:dyDescent="0.25">
      <c r="A114" s="15" t="s">
        <v>866</v>
      </c>
      <c r="B114" s="29">
        <v>251257.52</v>
      </c>
      <c r="C114" s="15">
        <v>275239.08</v>
      </c>
      <c r="G114" s="15" t="str">
        <f t="shared" si="12"/>
        <v>00109040505270</v>
      </c>
    </row>
    <row r="115" spans="1:7" hidden="1" x14ac:dyDescent="0.25">
      <c r="A115" s="15" t="s">
        <v>867</v>
      </c>
      <c r="B115" s="29">
        <v>199</v>
      </c>
      <c r="C115" s="15">
        <v>549</v>
      </c>
      <c r="G115" s="15" t="str">
        <f t="shared" si="12"/>
        <v>00109040505401</v>
      </c>
    </row>
    <row r="116" spans="1:7" hidden="1" x14ac:dyDescent="0.25">
      <c r="A116" s="15" t="s">
        <v>868</v>
      </c>
      <c r="B116" s="29">
        <v>0</v>
      </c>
      <c r="C116" s="15">
        <v>0</v>
      </c>
      <c r="G116" s="15" t="e">
        <f t="shared" si="12"/>
        <v>#N/A</v>
      </c>
    </row>
    <row r="117" spans="1:7" hidden="1" x14ac:dyDescent="0.25">
      <c r="A117" s="15" t="s">
        <v>869</v>
      </c>
      <c r="B117" s="29">
        <v>6493.86</v>
      </c>
      <c r="C117" s="15">
        <v>6728.78</v>
      </c>
      <c r="G117" s="15" t="str">
        <f t="shared" si="12"/>
        <v>00109040505505</v>
      </c>
    </row>
    <row r="118" spans="1:7" hidden="1" x14ac:dyDescent="0.25">
      <c r="A118" s="15" t="s">
        <v>870</v>
      </c>
      <c r="B118" s="29">
        <v>1622.05</v>
      </c>
      <c r="C118" s="15">
        <v>1244.8399999999999</v>
      </c>
      <c r="G118" s="15" t="str">
        <f t="shared" si="12"/>
        <v>00109040505532</v>
      </c>
    </row>
    <row r="119" spans="1:7" hidden="1" x14ac:dyDescent="0.25">
      <c r="A119" s="15" t="s">
        <v>871</v>
      </c>
      <c r="B119" s="29">
        <v>86.14</v>
      </c>
      <c r="C119" s="15">
        <v>0</v>
      </c>
      <c r="G119" s="15" t="str">
        <f t="shared" si="12"/>
        <v>00109040505540</v>
      </c>
    </row>
    <row r="120" spans="1:7" hidden="1" x14ac:dyDescent="0.25">
      <c r="A120" s="15" t="s">
        <v>872</v>
      </c>
      <c r="B120" s="29">
        <v>113.29</v>
      </c>
      <c r="C120" s="15">
        <v>1320.27</v>
      </c>
      <c r="G120" s="15" t="str">
        <f t="shared" si="12"/>
        <v>00109040505550</v>
      </c>
    </row>
    <row r="121" spans="1:7" hidden="1" x14ac:dyDescent="0.25">
      <c r="A121" s="15" t="s">
        <v>873</v>
      </c>
      <c r="B121" s="29">
        <v>319882.40999999997</v>
      </c>
      <c r="C121" s="15">
        <v>322667.75</v>
      </c>
      <c r="G121" s="15" t="str">
        <f t="shared" si="12"/>
        <v>00109040505601</v>
      </c>
    </row>
    <row r="122" spans="1:7" hidden="1" x14ac:dyDescent="0.25">
      <c r="A122" s="15" t="s">
        <v>874</v>
      </c>
      <c r="B122" s="29">
        <v>1957.52</v>
      </c>
      <c r="C122" s="15">
        <v>1629.29</v>
      </c>
      <c r="G122" s="15" t="str">
        <f t="shared" si="12"/>
        <v>00109040505602</v>
      </c>
    </row>
    <row r="123" spans="1:7" hidden="1" x14ac:dyDescent="0.25">
      <c r="A123" s="15" t="s">
        <v>875</v>
      </c>
      <c r="B123" s="29">
        <v>11003.67</v>
      </c>
      <c r="C123" s="15">
        <v>11527.92</v>
      </c>
      <c r="G123" s="15" t="str">
        <f t="shared" si="12"/>
        <v>00109040505701</v>
      </c>
    </row>
    <row r="124" spans="1:7" hidden="1" x14ac:dyDescent="0.25">
      <c r="A124" s="15" t="s">
        <v>876</v>
      </c>
      <c r="B124" s="29">
        <v>0</v>
      </c>
      <c r="C124" s="15">
        <v>0</v>
      </c>
      <c r="G124" s="15" t="e">
        <f t="shared" si="12"/>
        <v>#N/A</v>
      </c>
    </row>
    <row r="125" spans="1:7" hidden="1" x14ac:dyDescent="0.25">
      <c r="A125" s="15" t="s">
        <v>877</v>
      </c>
      <c r="B125" s="29">
        <v>0</v>
      </c>
      <c r="C125" s="15">
        <v>0</v>
      </c>
      <c r="G125" s="15" t="str">
        <f t="shared" si="12"/>
        <v>00109040505801</v>
      </c>
    </row>
    <row r="126" spans="1:7" hidden="1" x14ac:dyDescent="0.25">
      <c r="A126" s="15" t="s">
        <v>878</v>
      </c>
      <c r="B126" s="29">
        <v>0</v>
      </c>
      <c r="C126" s="15">
        <v>0</v>
      </c>
      <c r="G126" s="15" t="e">
        <f t="shared" si="12"/>
        <v>#N/A</v>
      </c>
    </row>
    <row r="127" spans="1:7" hidden="1" x14ac:dyDescent="0.25">
      <c r="A127" s="15" t="s">
        <v>879</v>
      </c>
      <c r="B127" s="29">
        <v>0</v>
      </c>
      <c r="C127" s="15">
        <v>0</v>
      </c>
      <c r="G127" s="15" t="e">
        <f t="shared" si="12"/>
        <v>#N/A</v>
      </c>
    </row>
    <row r="128" spans="1:7" hidden="1" x14ac:dyDescent="0.25">
      <c r="A128" s="15" t="s">
        <v>880</v>
      </c>
      <c r="B128" s="29">
        <v>0</v>
      </c>
      <c r="C128" s="15">
        <v>0</v>
      </c>
      <c r="G128" s="15" t="e">
        <f t="shared" si="12"/>
        <v>#N/A</v>
      </c>
    </row>
    <row r="129" spans="1:7" hidden="1" x14ac:dyDescent="0.25">
      <c r="A129" s="15" t="s">
        <v>881</v>
      </c>
      <c r="B129" s="29">
        <v>0</v>
      </c>
      <c r="C129" s="15">
        <v>0</v>
      </c>
      <c r="G129" s="15" t="e">
        <f t="shared" si="12"/>
        <v>#N/A</v>
      </c>
    </row>
    <row r="130" spans="1:7" hidden="1" x14ac:dyDescent="0.25">
      <c r="A130" s="15" t="s">
        <v>882</v>
      </c>
      <c r="B130" s="29">
        <v>0</v>
      </c>
      <c r="C130" s="15">
        <v>0</v>
      </c>
      <c r="G130" s="15" t="e">
        <f t="shared" si="12"/>
        <v>#N/A</v>
      </c>
    </row>
    <row r="131" spans="1:7" hidden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0" orientation="portrait" useFirstPageNumber="1" r:id="rId1"/>
  <headerFooter alignWithMargins="0"/>
  <rowBreaks count="1" manualBreakCount="1">
    <brk id="36" max="1638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DE83-2BE8-49EF-9CB5-356F379A9BE7}">
  <sheetPr>
    <tabColor rgb="FFDDDDFF"/>
  </sheetPr>
  <dimension ref="A1:V199"/>
  <sheetViews>
    <sheetView showGridLines="0" zoomScaleNormal="100" zoomScaleSheetLayoutView="100" workbookViewId="0">
      <pane ySplit="10" topLeftCell="A101" activePane="bottomLeft" state="frozen"/>
      <selection activeCell="R10" sqref="R10"/>
      <selection pane="bottomLeft" activeCell="A124" sqref="A124:XFD199"/>
    </sheetView>
  </sheetViews>
  <sheetFormatPr defaultColWidth="9.140625" defaultRowHeight="12" customHeight="1" x14ac:dyDescent="0.25"/>
  <cols>
    <col min="1" max="1" width="35.28515625" style="15" customWidth="1"/>
    <col min="2" max="2" width="12.5703125" style="29" hidden="1" customWidth="1"/>
    <col min="3" max="4" width="6" style="15" customWidth="1"/>
    <col min="5" max="5" width="6" style="71" hidden="1" customWidth="1"/>
    <col min="6" max="6" width="1.7109375" style="42" customWidth="1"/>
    <col min="7" max="7" width="9.7109375" style="15" customWidth="1"/>
    <col min="8" max="8" width="1.7109375" style="42" customWidth="1"/>
    <col min="9" max="9" width="9.7109375" style="44" customWidth="1"/>
    <col min="10" max="10" width="1.7109375" style="42" customWidth="1"/>
    <col min="11" max="11" width="9.7109375" style="15" customWidth="1"/>
    <col min="12" max="12" width="1.7109375" style="42" customWidth="1"/>
    <col min="13" max="13" width="9.7109375" style="15" customWidth="1"/>
    <col min="14" max="14" width="1.7109375" style="15" hidden="1" customWidth="1"/>
    <col min="15" max="15" width="9.7109375" style="15" hidden="1" customWidth="1"/>
    <col min="16" max="16" width="1.7109375" style="2" hidden="1" customWidth="1"/>
    <col min="17" max="17" width="9.7109375" style="15" hidden="1" customWidth="1"/>
    <col min="18" max="18" width="26.7109375" customWidth="1"/>
    <col min="20" max="20" width="2.42578125" customWidth="1"/>
    <col min="23" max="16384" width="9.140625" style="15"/>
  </cols>
  <sheetData>
    <row r="1" spans="1:22" ht="13.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8"/>
    </row>
    <row r="2" spans="1:22" ht="13.15" customHeight="1" x14ac:dyDescent="0.25">
      <c r="A2" s="1" t="str">
        <f>'[1]Admin Summary'!A2:K2</f>
        <v>Fiscal Year 2026 / 2027 Annual Budget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</row>
    <row r="3" spans="1:22" ht="13.15" customHeight="1" x14ac:dyDescent="0.25">
      <c r="A3" s="205"/>
      <c r="B3" s="80"/>
      <c r="C3" s="8"/>
      <c r="D3" s="8"/>
      <c r="G3" s="8"/>
      <c r="I3" s="81"/>
      <c r="K3" s="8"/>
      <c r="M3" s="8"/>
      <c r="N3" s="8"/>
      <c r="O3" s="8"/>
      <c r="Q3" s="8"/>
    </row>
    <row r="4" spans="1:22" ht="13.15" customHeight="1" x14ac:dyDescent="0.25">
      <c r="A4" s="206" t="s">
        <v>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Q4" s="8"/>
    </row>
    <row r="5" spans="1:22" ht="13.15" customHeight="1" x14ac:dyDescent="0.25">
      <c r="A5" s="206" t="s">
        <v>883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Q5" s="8"/>
    </row>
    <row r="6" spans="1:22" ht="13.15" customHeight="1" x14ac:dyDescent="0.25">
      <c r="A6" s="206" t="s">
        <v>884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Q6" s="8"/>
    </row>
    <row r="7" spans="1:22" s="84" customFormat="1" ht="13.15" customHeight="1" x14ac:dyDescent="0.25">
      <c r="A7" s="207"/>
      <c r="B7" s="85"/>
      <c r="E7" s="117"/>
      <c r="F7" s="110"/>
      <c r="H7" s="110"/>
      <c r="I7" s="111"/>
      <c r="J7" s="110"/>
      <c r="L7" s="110"/>
      <c r="P7" s="213"/>
      <c r="R7"/>
      <c r="S7"/>
      <c r="T7"/>
      <c r="U7"/>
      <c r="V7"/>
    </row>
    <row r="8" spans="1:22" ht="12" customHeight="1" x14ac:dyDescent="0.25">
      <c r="K8" s="18"/>
      <c r="L8" s="21" t="s">
        <v>4</v>
      </c>
      <c r="M8" s="167">
        <f>'903 PLM&amp;O'!M8</f>
        <v>2027</v>
      </c>
      <c r="N8" s="167"/>
      <c r="O8" s="167"/>
      <c r="P8" s="167"/>
      <c r="Q8" s="167"/>
    </row>
    <row r="9" spans="1:22" ht="12" customHeight="1" x14ac:dyDescent="0.25">
      <c r="C9" s="24"/>
      <c r="D9" s="24"/>
      <c r="E9" s="25"/>
      <c r="G9" s="24">
        <f>'903 PLM&amp;O'!G9</f>
        <v>2024</v>
      </c>
      <c r="I9" s="24">
        <f>'903 PLM&amp;O'!I9</f>
        <v>2025</v>
      </c>
      <c r="K9" s="21">
        <f>'903 PLM&amp;O'!K9</f>
        <v>2026</v>
      </c>
      <c r="L9" s="21"/>
      <c r="M9" s="24" t="s">
        <v>5</v>
      </c>
      <c r="N9" s="25"/>
      <c r="O9" s="24" t="s">
        <v>6</v>
      </c>
      <c r="P9" s="24"/>
      <c r="Q9" s="24" t="s">
        <v>7</v>
      </c>
    </row>
    <row r="10" spans="1:22" ht="12" customHeight="1" x14ac:dyDescent="0.25">
      <c r="B10" s="27" t="s">
        <v>8</v>
      </c>
      <c r="C10" s="27" t="s">
        <v>9</v>
      </c>
      <c r="D10" s="27" t="s">
        <v>10</v>
      </c>
      <c r="E10" s="25"/>
      <c r="G10" s="27" t="s">
        <v>11</v>
      </c>
      <c r="I10" s="27" t="s">
        <v>11</v>
      </c>
      <c r="K10" s="26" t="s">
        <v>12</v>
      </c>
      <c r="L10" s="21"/>
      <c r="M10" s="27" t="s">
        <v>13</v>
      </c>
      <c r="N10" s="24"/>
      <c r="O10" s="27" t="s">
        <v>14</v>
      </c>
      <c r="P10" s="24"/>
      <c r="Q10" s="27" t="s">
        <v>15</v>
      </c>
      <c r="R10" s="236" t="s">
        <v>1025</v>
      </c>
    </row>
    <row r="11" spans="1:22" ht="13.5" customHeight="1" x14ac:dyDescent="0.25">
      <c r="A11" s="28" t="s">
        <v>16</v>
      </c>
      <c r="I11" s="15"/>
    </row>
    <row r="12" spans="1:22" ht="24.95" customHeight="1" x14ac:dyDescent="0.25">
      <c r="A12" s="92" t="s">
        <v>283</v>
      </c>
      <c r="B12" s="93" t="s">
        <v>885</v>
      </c>
      <c r="C12" s="208">
        <v>501201</v>
      </c>
      <c r="D12" s="208"/>
      <c r="E12" s="209" t="str">
        <f>_xlfn.CONCAT(B12,C12,D12)</f>
        <v>00109070501201</v>
      </c>
      <c r="F12" s="42" t="s">
        <v>19</v>
      </c>
      <c r="G12" s="34">
        <f>ROUND(IFERROR(VLOOKUP(_xlfn.CONCAT($B12,$C12,$D12),$A$129:$C$9996,3,FALSE),0),0)</f>
        <v>793360</v>
      </c>
      <c r="H12" s="42" t="s">
        <v>19</v>
      </c>
      <c r="I12" s="34">
        <f>ROUND(IFERROR(VLOOKUP(_xlfn.CONCAT($B12,$C12,$D12),$A$129:$C$9996,2,FALSE),0),0)</f>
        <v>873071</v>
      </c>
      <c r="J12" s="42" t="s">
        <v>19</v>
      </c>
      <c r="K12" s="45">
        <v>850567.75560000003</v>
      </c>
      <c r="L12" s="42" t="s">
        <v>19</v>
      </c>
      <c r="M12" s="45">
        <f>'[1]Payroll Summary by Department'!C55-'907 Facilities'!M13</f>
        <v>850567.75560000003</v>
      </c>
      <c r="N12" s="141" t="s">
        <v>19</v>
      </c>
      <c r="O12" s="45">
        <f t="shared" ref="O12:O26" si="0">M12</f>
        <v>850567.75560000003</v>
      </c>
      <c r="P12" s="141" t="s">
        <v>19</v>
      </c>
      <c r="Q12" s="45">
        <f t="shared" ref="Q12:Q26" si="1">O12</f>
        <v>850567.75560000003</v>
      </c>
    </row>
    <row r="13" spans="1:22" ht="24.95" customHeight="1" x14ac:dyDescent="0.25">
      <c r="A13" s="92" t="s">
        <v>886</v>
      </c>
      <c r="B13" s="93" t="s">
        <v>885</v>
      </c>
      <c r="C13" s="208">
        <v>501210</v>
      </c>
      <c r="D13" s="208"/>
      <c r="E13" s="209" t="str">
        <f t="shared" ref="E13:E76" si="2">_xlfn.CONCAT(B13,C13,D13)</f>
        <v>00109070501210</v>
      </c>
      <c r="G13" s="34">
        <f t="shared" ref="G13:G26" si="3">ROUND(IFERROR(VLOOKUP(_xlfn.CONCAT($B13,$C13,$D13),$A$129:$C$9996,3,FALSE),0),0)</f>
        <v>89789</v>
      </c>
      <c r="I13" s="34">
        <f t="shared" ref="I13:I26" si="4">ROUND(IFERROR(VLOOKUP(_xlfn.CONCAT($B13,$C13,$D13),$A$129:$C$9996,2,FALSE),0),0)</f>
        <v>89065</v>
      </c>
      <c r="K13" s="45">
        <v>95394.244399999981</v>
      </c>
      <c r="M13" s="45">
        <f>SUMIFS('[1]Input Master'!O21:O565,'[1]Input Master'!E21:E565,"00109070",'[1]Input Master'!L21:L565,"P1")</f>
        <v>95394.244399999981</v>
      </c>
      <c r="N13" s="141"/>
      <c r="O13" s="45">
        <f t="shared" si="0"/>
        <v>95394.244399999981</v>
      </c>
      <c r="Q13" s="45">
        <f t="shared" si="1"/>
        <v>95394.244399999981</v>
      </c>
    </row>
    <row r="14" spans="1:22" ht="13.5" customHeight="1" x14ac:dyDescent="0.25">
      <c r="A14" s="92" t="s">
        <v>285</v>
      </c>
      <c r="B14" s="93" t="s">
        <v>885</v>
      </c>
      <c r="C14" s="208">
        <v>501290</v>
      </c>
      <c r="D14" s="208"/>
      <c r="E14" s="209" t="str">
        <f t="shared" si="2"/>
        <v>00109070501290</v>
      </c>
      <c r="G14" s="34">
        <f t="shared" si="3"/>
        <v>0</v>
      </c>
      <c r="H14" s="67"/>
      <c r="I14" s="34">
        <f t="shared" si="4"/>
        <v>0</v>
      </c>
      <c r="J14" s="67">
        <f>+F14+H14</f>
        <v>0</v>
      </c>
      <c r="K14" s="45">
        <v>0</v>
      </c>
      <c r="L14" s="67"/>
      <c r="M14" s="45">
        <v>0</v>
      </c>
      <c r="N14" s="67"/>
      <c r="O14" s="45">
        <f t="shared" si="0"/>
        <v>0</v>
      </c>
      <c r="Q14" s="45">
        <f t="shared" si="1"/>
        <v>0</v>
      </c>
    </row>
    <row r="15" spans="1:22" ht="13.15" customHeight="1" x14ac:dyDescent="0.25">
      <c r="A15" s="40" t="s">
        <v>122</v>
      </c>
      <c r="B15" s="93" t="s">
        <v>885</v>
      </c>
      <c r="C15" s="42">
        <v>501300</v>
      </c>
      <c r="D15" s="42"/>
      <c r="E15" s="209" t="str">
        <f t="shared" si="2"/>
        <v>00109070501300</v>
      </c>
      <c r="G15" s="34">
        <f t="shared" si="3"/>
        <v>7610</v>
      </c>
      <c r="H15" s="67"/>
      <c r="I15" s="34">
        <f t="shared" si="4"/>
        <v>32560</v>
      </c>
      <c r="J15" s="67"/>
      <c r="K15" s="45">
        <v>19200</v>
      </c>
      <c r="L15" s="67"/>
      <c r="M15" s="45">
        <v>19200</v>
      </c>
      <c r="N15" s="67"/>
      <c r="O15" s="45">
        <f t="shared" si="0"/>
        <v>19200</v>
      </c>
      <c r="Q15" s="45">
        <f t="shared" si="1"/>
        <v>19200</v>
      </c>
    </row>
    <row r="16" spans="1:22" ht="13.15" customHeight="1" x14ac:dyDescent="0.25">
      <c r="A16" s="40" t="s">
        <v>21</v>
      </c>
      <c r="B16" s="93" t="s">
        <v>885</v>
      </c>
      <c r="C16" s="208">
        <v>501400</v>
      </c>
      <c r="D16" s="208"/>
      <c r="E16" s="209" t="str">
        <f t="shared" si="2"/>
        <v>00109070501400</v>
      </c>
      <c r="G16" s="34">
        <f t="shared" si="3"/>
        <v>17225</v>
      </c>
      <c r="H16" s="67"/>
      <c r="I16" s="34">
        <f t="shared" si="4"/>
        <v>33734</v>
      </c>
      <c r="J16" s="67"/>
      <c r="K16" s="45">
        <v>17500</v>
      </c>
      <c r="L16" s="67"/>
      <c r="M16" s="45">
        <v>17500</v>
      </c>
      <c r="N16" s="45"/>
      <c r="O16" s="45">
        <f t="shared" si="0"/>
        <v>17500</v>
      </c>
      <c r="Q16" s="45">
        <f t="shared" si="1"/>
        <v>17500</v>
      </c>
    </row>
    <row r="17" spans="1:17" ht="13.15" customHeight="1" x14ac:dyDescent="0.25">
      <c r="A17" s="40" t="s">
        <v>526</v>
      </c>
      <c r="B17" s="93" t="s">
        <v>885</v>
      </c>
      <c r="C17" s="211">
        <v>501401</v>
      </c>
      <c r="D17" s="211"/>
      <c r="E17" s="209" t="str">
        <f t="shared" si="2"/>
        <v>00109070501401</v>
      </c>
      <c r="G17" s="34">
        <f t="shared" si="3"/>
        <v>5322</v>
      </c>
      <c r="H17" s="67"/>
      <c r="I17" s="34">
        <f t="shared" si="4"/>
        <v>5464</v>
      </c>
      <c r="J17" s="67"/>
      <c r="K17" s="45">
        <v>5860</v>
      </c>
      <c r="L17" s="67"/>
      <c r="M17" s="45">
        <v>5860</v>
      </c>
      <c r="N17" s="45"/>
      <c r="O17" s="45">
        <f t="shared" si="0"/>
        <v>5860</v>
      </c>
      <c r="Q17" s="45">
        <f t="shared" si="1"/>
        <v>5860</v>
      </c>
    </row>
    <row r="18" spans="1:17" ht="13.15" customHeight="1" x14ac:dyDescent="0.25">
      <c r="A18" s="40" t="s">
        <v>23</v>
      </c>
      <c r="B18" s="93" t="s">
        <v>885</v>
      </c>
      <c r="C18" s="69">
        <v>501600</v>
      </c>
      <c r="D18" s="69"/>
      <c r="E18" s="209" t="str">
        <f t="shared" si="2"/>
        <v>00109070501600</v>
      </c>
      <c r="G18" s="34">
        <f t="shared" si="3"/>
        <v>2303</v>
      </c>
      <c r="I18" s="34">
        <f t="shared" si="4"/>
        <v>652</v>
      </c>
      <c r="K18" s="45">
        <v>4550</v>
      </c>
      <c r="M18" s="45">
        <f>'[1]Payroll Summary by Department'!I55</f>
        <v>4550</v>
      </c>
      <c r="N18" s="141"/>
      <c r="O18" s="45">
        <f t="shared" si="0"/>
        <v>4550</v>
      </c>
      <c r="Q18" s="45">
        <f t="shared" si="1"/>
        <v>4550</v>
      </c>
    </row>
    <row r="19" spans="1:17" ht="13.15" customHeight="1" x14ac:dyDescent="0.25">
      <c r="A19" s="40" t="s">
        <v>24</v>
      </c>
      <c r="B19" s="93" t="s">
        <v>885</v>
      </c>
      <c r="C19" s="42">
        <v>501701</v>
      </c>
      <c r="D19" s="42"/>
      <c r="E19" s="209" t="str">
        <f t="shared" si="2"/>
        <v>00109070501701</v>
      </c>
      <c r="G19" s="34">
        <f t="shared" si="3"/>
        <v>0</v>
      </c>
      <c r="I19" s="34">
        <f t="shared" si="4"/>
        <v>0</v>
      </c>
      <c r="K19" s="45">
        <v>0</v>
      </c>
      <c r="M19" s="45">
        <f>'[1]Payroll Summary by Department'!K55</f>
        <v>0</v>
      </c>
      <c r="N19" s="141"/>
      <c r="O19" s="45">
        <f t="shared" si="0"/>
        <v>0</v>
      </c>
      <c r="Q19" s="45">
        <f t="shared" si="1"/>
        <v>0</v>
      </c>
    </row>
    <row r="20" spans="1:17" ht="13.15" customHeight="1" x14ac:dyDescent="0.25">
      <c r="A20" s="40" t="s">
        <v>25</v>
      </c>
      <c r="B20" s="93" t="s">
        <v>885</v>
      </c>
      <c r="C20" s="41">
        <v>501702</v>
      </c>
      <c r="D20" s="41"/>
      <c r="E20" s="209" t="str">
        <f t="shared" si="2"/>
        <v>00109070501702</v>
      </c>
      <c r="G20" s="34">
        <f t="shared" si="3"/>
        <v>9030</v>
      </c>
      <c r="H20" s="67"/>
      <c r="I20" s="34">
        <f t="shared" si="4"/>
        <v>10248</v>
      </c>
      <c r="J20" s="67"/>
      <c r="K20" s="45">
        <v>10200</v>
      </c>
      <c r="L20" s="67"/>
      <c r="M20" s="45">
        <f>'[1]Payroll Summary by Department'!L55</f>
        <v>10200</v>
      </c>
      <c r="N20" s="45"/>
      <c r="O20" s="45">
        <f t="shared" si="0"/>
        <v>10200</v>
      </c>
      <c r="Q20" s="45">
        <f t="shared" si="1"/>
        <v>10200</v>
      </c>
    </row>
    <row r="21" spans="1:17" ht="13.15" customHeight="1" x14ac:dyDescent="0.25">
      <c r="A21" s="40" t="s">
        <v>26</v>
      </c>
      <c r="B21" s="93" t="s">
        <v>885</v>
      </c>
      <c r="C21" s="41">
        <v>501800</v>
      </c>
      <c r="D21" s="41"/>
      <c r="E21" s="209" t="str">
        <f t="shared" si="2"/>
        <v>00109070501800</v>
      </c>
      <c r="G21" s="34">
        <f t="shared" si="3"/>
        <v>0</v>
      </c>
      <c r="I21" s="34">
        <f t="shared" si="4"/>
        <v>0</v>
      </c>
      <c r="K21" s="45">
        <v>250</v>
      </c>
      <c r="L21" s="67"/>
      <c r="M21" s="45">
        <v>250</v>
      </c>
      <c r="N21" s="45"/>
      <c r="O21" s="45">
        <f t="shared" si="0"/>
        <v>250</v>
      </c>
      <c r="Q21" s="45">
        <f t="shared" si="1"/>
        <v>250</v>
      </c>
    </row>
    <row r="22" spans="1:17" ht="13.15" customHeight="1" x14ac:dyDescent="0.25">
      <c r="A22" s="40" t="s">
        <v>887</v>
      </c>
      <c r="B22" s="93" t="s">
        <v>885</v>
      </c>
      <c r="C22" s="41">
        <v>501900</v>
      </c>
      <c r="D22" s="41" t="s">
        <v>888</v>
      </c>
      <c r="E22" s="209" t="str">
        <f t="shared" si="2"/>
        <v>001090705019006.01P</v>
      </c>
      <c r="G22" s="34">
        <f t="shared" si="3"/>
        <v>0</v>
      </c>
      <c r="I22" s="34">
        <f t="shared" si="4"/>
        <v>0</v>
      </c>
      <c r="K22" s="45">
        <v>0</v>
      </c>
      <c r="L22" s="67"/>
      <c r="M22" s="45">
        <v>0</v>
      </c>
      <c r="N22" s="45"/>
      <c r="O22" s="45">
        <f t="shared" si="0"/>
        <v>0</v>
      </c>
      <c r="Q22" s="45">
        <f t="shared" si="1"/>
        <v>0</v>
      </c>
    </row>
    <row r="23" spans="1:17" ht="13.15" customHeight="1" x14ac:dyDescent="0.25">
      <c r="A23" s="40" t="s">
        <v>27</v>
      </c>
      <c r="B23" s="93" t="s">
        <v>885</v>
      </c>
      <c r="C23" s="208">
        <v>502100</v>
      </c>
      <c r="D23" s="208"/>
      <c r="E23" s="209" t="str">
        <f t="shared" si="2"/>
        <v>00109070502100</v>
      </c>
      <c r="G23" s="34">
        <f t="shared" si="3"/>
        <v>68933</v>
      </c>
      <c r="H23" s="67"/>
      <c r="I23" s="34">
        <f t="shared" si="4"/>
        <v>78044</v>
      </c>
      <c r="J23" s="67"/>
      <c r="K23" s="45">
        <v>76471</v>
      </c>
      <c r="L23" s="67"/>
      <c r="M23" s="45">
        <f>'[1]Payroll Summary by Department'!N55</f>
        <v>76471</v>
      </c>
      <c r="N23" s="45"/>
      <c r="O23" s="45">
        <f t="shared" si="0"/>
        <v>76471</v>
      </c>
      <c r="Q23" s="45">
        <f t="shared" si="1"/>
        <v>76471</v>
      </c>
    </row>
    <row r="24" spans="1:17" ht="13.15" customHeight="1" x14ac:dyDescent="0.25">
      <c r="A24" s="40" t="s">
        <v>28</v>
      </c>
      <c r="B24" s="93" t="s">
        <v>885</v>
      </c>
      <c r="C24" s="208">
        <v>502200</v>
      </c>
      <c r="D24" s="208"/>
      <c r="E24" s="209" t="str">
        <f t="shared" si="2"/>
        <v>00109070502200</v>
      </c>
      <c r="G24" s="34">
        <f t="shared" si="3"/>
        <v>81516</v>
      </c>
      <c r="H24" s="67"/>
      <c r="I24" s="34">
        <f t="shared" si="4"/>
        <v>89086</v>
      </c>
      <c r="J24" s="67"/>
      <c r="K24" s="45">
        <v>111375</v>
      </c>
      <c r="L24" s="67"/>
      <c r="M24" s="45">
        <f>'[1]Payroll Summary by Department'!O55+'[1]Payroll Summary by Department'!P55</f>
        <v>111375</v>
      </c>
      <c r="N24" s="45"/>
      <c r="O24" s="45">
        <f t="shared" si="0"/>
        <v>111375</v>
      </c>
      <c r="Q24" s="45">
        <f t="shared" si="1"/>
        <v>111375</v>
      </c>
    </row>
    <row r="25" spans="1:17" ht="13.15" customHeight="1" x14ac:dyDescent="0.25">
      <c r="A25" s="40" t="s">
        <v>29</v>
      </c>
      <c r="B25" s="93" t="s">
        <v>885</v>
      </c>
      <c r="C25" s="208">
        <v>502300</v>
      </c>
      <c r="D25" s="208"/>
      <c r="E25" s="209" t="str">
        <f t="shared" si="2"/>
        <v>00109070502300</v>
      </c>
      <c r="G25" s="34">
        <f t="shared" si="3"/>
        <v>132563</v>
      </c>
      <c r="H25" s="67"/>
      <c r="I25" s="34">
        <f t="shared" si="4"/>
        <v>153488</v>
      </c>
      <c r="J25" s="67"/>
      <c r="K25" s="45">
        <v>184288</v>
      </c>
      <c r="L25" s="67"/>
      <c r="M25" s="45">
        <f>'[1]Payroll Summary by Department'!Q55</f>
        <v>184288</v>
      </c>
      <c r="N25" s="45"/>
      <c r="O25" s="45">
        <f t="shared" si="0"/>
        <v>184288</v>
      </c>
      <c r="Q25" s="45">
        <f t="shared" si="1"/>
        <v>184288</v>
      </c>
    </row>
    <row r="26" spans="1:17" ht="13.15" customHeight="1" x14ac:dyDescent="0.25">
      <c r="A26" s="40" t="s">
        <v>30</v>
      </c>
      <c r="B26" s="93" t="s">
        <v>885</v>
      </c>
      <c r="C26" s="208">
        <v>502400</v>
      </c>
      <c r="D26" s="208"/>
      <c r="E26" s="209" t="str">
        <f t="shared" si="2"/>
        <v>00109070502400</v>
      </c>
      <c r="G26" s="34">
        <f t="shared" si="3"/>
        <v>1575</v>
      </c>
      <c r="H26" s="67"/>
      <c r="I26" s="34">
        <f t="shared" si="4"/>
        <v>1789</v>
      </c>
      <c r="J26" s="67"/>
      <c r="K26" s="97">
        <v>1789</v>
      </c>
      <c r="L26" s="67"/>
      <c r="M26" s="97">
        <f>'[1]Payroll Summary by Department'!R55</f>
        <v>1789</v>
      </c>
      <c r="N26" s="45"/>
      <c r="O26" s="45">
        <f t="shared" si="0"/>
        <v>1789</v>
      </c>
      <c r="Q26" s="45">
        <f t="shared" si="1"/>
        <v>1789</v>
      </c>
    </row>
    <row r="27" spans="1:17" ht="22.15" customHeight="1" x14ac:dyDescent="0.25">
      <c r="A27" s="49" t="s">
        <v>31</v>
      </c>
      <c r="B27" s="50"/>
      <c r="C27" s="42"/>
      <c r="D27" s="42"/>
      <c r="E27" s="209" t="str">
        <f t="shared" si="2"/>
        <v/>
      </c>
      <c r="F27" s="42" t="s">
        <v>19</v>
      </c>
      <c r="G27" s="98">
        <f>SUM(G12:G26)</f>
        <v>1209226</v>
      </c>
      <c r="H27" s="42" t="s">
        <v>19</v>
      </c>
      <c r="I27" s="98">
        <f>SUM(I12:I26)</f>
        <v>1367201</v>
      </c>
      <c r="J27" s="42" t="s">
        <v>19</v>
      </c>
      <c r="K27" s="97">
        <f>SUM(K12:K26)</f>
        <v>1377445</v>
      </c>
      <c r="L27" s="42" t="s">
        <v>19</v>
      </c>
      <c r="M27" s="97">
        <f>SUM(M12:M26)</f>
        <v>1377445</v>
      </c>
      <c r="N27" s="141" t="s">
        <v>320</v>
      </c>
      <c r="O27" s="98">
        <f>SUM(O12:O26)</f>
        <v>1377445</v>
      </c>
      <c r="P27" s="141" t="s">
        <v>19</v>
      </c>
      <c r="Q27" s="98">
        <f>SUM(Q12:Q26)</f>
        <v>1377445</v>
      </c>
    </row>
    <row r="28" spans="1:17" ht="22.15" customHeight="1" x14ac:dyDescent="0.25">
      <c r="A28" s="210" t="s">
        <v>32</v>
      </c>
      <c r="E28" s="209" t="str">
        <f t="shared" si="2"/>
        <v/>
      </c>
      <c r="G28" s="45"/>
      <c r="H28" s="67"/>
      <c r="I28" s="45"/>
      <c r="J28" s="67"/>
      <c r="K28" s="45"/>
      <c r="L28" s="67"/>
      <c r="M28" s="45"/>
      <c r="O28" s="45"/>
      <c r="Q28" s="45"/>
    </row>
    <row r="29" spans="1:17" ht="13.5" customHeight="1" x14ac:dyDescent="0.25">
      <c r="A29" s="100" t="s">
        <v>123</v>
      </c>
      <c r="B29" s="70"/>
      <c r="E29" s="209" t="str">
        <f t="shared" si="2"/>
        <v/>
      </c>
      <c r="G29" s="45"/>
      <c r="H29" s="67"/>
      <c r="I29" s="45"/>
      <c r="J29" s="67"/>
      <c r="K29" s="45"/>
      <c r="L29" s="67"/>
      <c r="M29" s="45"/>
      <c r="O29" s="45"/>
      <c r="Q29" s="45"/>
    </row>
    <row r="30" spans="1:17" ht="13.5" customHeight="1" x14ac:dyDescent="0.25">
      <c r="A30" s="60" t="s">
        <v>889</v>
      </c>
      <c r="B30" s="61"/>
      <c r="C30" s="42" t="s">
        <v>813</v>
      </c>
      <c r="D30" s="42"/>
      <c r="E30" s="209" t="str">
        <f t="shared" si="2"/>
        <v>3D</v>
      </c>
      <c r="G30" s="129">
        <v>1</v>
      </c>
      <c r="H30" s="130"/>
      <c r="I30" s="129">
        <v>1</v>
      </c>
      <c r="J30" s="130"/>
      <c r="K30" s="129">
        <v>1</v>
      </c>
      <c r="L30" s="130"/>
      <c r="M30" s="129">
        <v>1</v>
      </c>
      <c r="O30" s="129">
        <f t="shared" ref="O30:O41" si="5">M30</f>
        <v>1</v>
      </c>
      <c r="Q30" s="129">
        <f t="shared" ref="Q30:Q41" si="6">O30</f>
        <v>1</v>
      </c>
    </row>
    <row r="31" spans="1:17" ht="13.5" customHeight="1" x14ac:dyDescent="0.25">
      <c r="A31" s="60" t="s">
        <v>890</v>
      </c>
      <c r="B31" s="61"/>
      <c r="C31" s="42" t="s">
        <v>41</v>
      </c>
      <c r="D31" s="42"/>
      <c r="E31" s="209" t="str">
        <f t="shared" si="2"/>
        <v>3C</v>
      </c>
      <c r="G31" s="129">
        <v>1</v>
      </c>
      <c r="H31" s="130"/>
      <c r="I31" s="129">
        <v>1</v>
      </c>
      <c r="J31" s="130"/>
      <c r="K31" s="129">
        <v>1</v>
      </c>
      <c r="L31" s="130"/>
      <c r="M31" s="129">
        <v>1</v>
      </c>
      <c r="O31" s="129">
        <f t="shared" si="5"/>
        <v>1</v>
      </c>
      <c r="Q31" s="129">
        <f t="shared" si="6"/>
        <v>1</v>
      </c>
    </row>
    <row r="32" spans="1:17" ht="13.5" customHeight="1" x14ac:dyDescent="0.25">
      <c r="A32" s="60" t="s">
        <v>891</v>
      </c>
      <c r="B32" s="61"/>
      <c r="C32" s="42" t="s">
        <v>41</v>
      </c>
      <c r="D32" s="42"/>
      <c r="E32" s="209" t="str">
        <f t="shared" si="2"/>
        <v>3C</v>
      </c>
      <c r="G32" s="129">
        <v>0</v>
      </c>
      <c r="H32" s="130"/>
      <c r="I32" s="129">
        <v>1</v>
      </c>
      <c r="J32" s="130"/>
      <c r="K32" s="129">
        <v>1</v>
      </c>
      <c r="L32" s="130"/>
      <c r="M32" s="129">
        <v>1</v>
      </c>
      <c r="O32" s="129">
        <f>M32</f>
        <v>1</v>
      </c>
      <c r="Q32" s="129">
        <f>O32</f>
        <v>1</v>
      </c>
    </row>
    <row r="33" spans="1:17" ht="13.5" customHeight="1" x14ac:dyDescent="0.25">
      <c r="A33" s="60" t="s">
        <v>892</v>
      </c>
      <c r="B33" s="61"/>
      <c r="C33" s="42" t="s">
        <v>43</v>
      </c>
      <c r="D33" s="42"/>
      <c r="E33" s="209" t="str">
        <f t="shared" si="2"/>
        <v>3B</v>
      </c>
      <c r="G33" s="129">
        <v>1</v>
      </c>
      <c r="H33" s="130"/>
      <c r="I33" s="129">
        <v>1</v>
      </c>
      <c r="J33" s="130"/>
      <c r="K33" s="129">
        <v>1</v>
      </c>
      <c r="L33" s="130"/>
      <c r="M33" s="129">
        <v>1</v>
      </c>
      <c r="O33" s="129">
        <f t="shared" si="5"/>
        <v>1</v>
      </c>
      <c r="Q33" s="129">
        <f>O33</f>
        <v>1</v>
      </c>
    </row>
    <row r="34" spans="1:17" ht="13.5" customHeight="1" x14ac:dyDescent="0.25">
      <c r="A34" s="60" t="s">
        <v>893</v>
      </c>
      <c r="B34" s="61"/>
      <c r="C34" s="42" t="s">
        <v>43</v>
      </c>
      <c r="D34" s="42"/>
      <c r="E34" s="209" t="str">
        <f t="shared" si="2"/>
        <v>3B</v>
      </c>
      <c r="G34" s="129">
        <v>1</v>
      </c>
      <c r="H34" s="130"/>
      <c r="I34" s="129">
        <v>1</v>
      </c>
      <c r="J34" s="130"/>
      <c r="K34" s="129">
        <v>1</v>
      </c>
      <c r="L34" s="130"/>
      <c r="M34" s="129">
        <v>1</v>
      </c>
      <c r="O34" s="129">
        <f t="shared" si="5"/>
        <v>1</v>
      </c>
      <c r="Q34" s="129">
        <f t="shared" si="6"/>
        <v>1</v>
      </c>
    </row>
    <row r="35" spans="1:17" ht="13.5" customHeight="1" x14ac:dyDescent="0.25">
      <c r="A35" s="60" t="s">
        <v>894</v>
      </c>
      <c r="B35" s="61"/>
      <c r="C35" s="42" t="s">
        <v>43</v>
      </c>
      <c r="D35" s="42"/>
      <c r="E35" s="209" t="str">
        <f t="shared" si="2"/>
        <v>3B</v>
      </c>
      <c r="G35" s="129">
        <v>1</v>
      </c>
      <c r="H35" s="130"/>
      <c r="I35" s="129">
        <v>1</v>
      </c>
      <c r="J35" s="130"/>
      <c r="K35" s="129">
        <v>1</v>
      </c>
      <c r="L35" s="130"/>
      <c r="M35" s="129">
        <v>1</v>
      </c>
      <c r="O35" s="129">
        <f t="shared" si="5"/>
        <v>1</v>
      </c>
      <c r="Q35" s="129">
        <f t="shared" si="6"/>
        <v>1</v>
      </c>
    </row>
    <row r="36" spans="1:17" ht="13.5" customHeight="1" x14ac:dyDescent="0.25">
      <c r="A36" s="60" t="s">
        <v>895</v>
      </c>
      <c r="B36" s="61"/>
      <c r="C36" s="42" t="s">
        <v>43</v>
      </c>
      <c r="D36" s="42"/>
      <c r="E36" s="209" t="str">
        <f t="shared" si="2"/>
        <v>3B</v>
      </c>
      <c r="G36" s="129">
        <v>1</v>
      </c>
      <c r="H36" s="130"/>
      <c r="I36" s="129">
        <v>1</v>
      </c>
      <c r="J36" s="130"/>
      <c r="K36" s="129">
        <v>1</v>
      </c>
      <c r="L36" s="130"/>
      <c r="M36" s="129">
        <v>1</v>
      </c>
      <c r="O36" s="129">
        <f t="shared" si="5"/>
        <v>1</v>
      </c>
      <c r="Q36" s="129">
        <f t="shared" si="6"/>
        <v>1</v>
      </c>
    </row>
    <row r="37" spans="1:17" ht="13.5" customHeight="1" x14ac:dyDescent="0.25">
      <c r="A37" s="60" t="s">
        <v>896</v>
      </c>
      <c r="B37" s="61"/>
      <c r="C37" s="42" t="s">
        <v>43</v>
      </c>
      <c r="D37" s="42"/>
      <c r="E37" s="209" t="str">
        <f t="shared" si="2"/>
        <v>3B</v>
      </c>
      <c r="G37" s="129">
        <v>1</v>
      </c>
      <c r="H37" s="130"/>
      <c r="I37" s="129">
        <v>1</v>
      </c>
      <c r="J37" s="130"/>
      <c r="K37" s="129">
        <v>1</v>
      </c>
      <c r="L37" s="130"/>
      <c r="M37" s="129">
        <v>1</v>
      </c>
      <c r="O37" s="129">
        <f t="shared" si="5"/>
        <v>1</v>
      </c>
      <c r="Q37" s="129">
        <f t="shared" si="6"/>
        <v>1</v>
      </c>
    </row>
    <row r="38" spans="1:17" ht="13.5" customHeight="1" x14ac:dyDescent="0.25">
      <c r="A38" s="60" t="s">
        <v>897</v>
      </c>
      <c r="B38" s="61"/>
      <c r="C38" s="42" t="s">
        <v>324</v>
      </c>
      <c r="D38" s="42"/>
      <c r="E38" s="209" t="str">
        <f t="shared" si="2"/>
        <v>3A</v>
      </c>
      <c r="G38" s="129">
        <v>1</v>
      </c>
      <c r="H38" s="130"/>
      <c r="I38" s="129">
        <v>1</v>
      </c>
      <c r="J38" s="130"/>
      <c r="K38" s="129">
        <v>1</v>
      </c>
      <c r="L38" s="130"/>
      <c r="M38" s="129">
        <v>1</v>
      </c>
      <c r="O38" s="129">
        <f t="shared" si="5"/>
        <v>1</v>
      </c>
      <c r="Q38" s="129">
        <f t="shared" si="6"/>
        <v>1</v>
      </c>
    </row>
    <row r="39" spans="1:17" ht="13.5" customHeight="1" x14ac:dyDescent="0.25">
      <c r="A39" s="60" t="s">
        <v>898</v>
      </c>
      <c r="B39" s="61"/>
      <c r="C39" s="42" t="s">
        <v>324</v>
      </c>
      <c r="D39" s="42"/>
      <c r="E39" s="209" t="str">
        <f t="shared" si="2"/>
        <v>3A</v>
      </c>
      <c r="G39" s="129">
        <v>1</v>
      </c>
      <c r="H39" s="130"/>
      <c r="I39" s="129">
        <v>1</v>
      </c>
      <c r="J39" s="130"/>
      <c r="K39" s="129">
        <v>1</v>
      </c>
      <c r="L39" s="130"/>
      <c r="M39" s="129">
        <v>1</v>
      </c>
      <c r="O39" s="129">
        <f t="shared" si="5"/>
        <v>1</v>
      </c>
      <c r="Q39" s="129">
        <f t="shared" si="6"/>
        <v>1</v>
      </c>
    </row>
    <row r="40" spans="1:17" ht="13.5" customHeight="1" x14ac:dyDescent="0.25">
      <c r="A40" s="60" t="s">
        <v>899</v>
      </c>
      <c r="B40" s="61"/>
      <c r="C40" s="42" t="s">
        <v>324</v>
      </c>
      <c r="D40" s="42"/>
      <c r="E40" s="209" t="str">
        <f t="shared" si="2"/>
        <v>3A</v>
      </c>
      <c r="G40" s="129">
        <v>0</v>
      </c>
      <c r="H40" s="130"/>
      <c r="I40" s="129">
        <v>1</v>
      </c>
      <c r="J40" s="130"/>
      <c r="K40" s="129">
        <v>1</v>
      </c>
      <c r="L40" s="130"/>
      <c r="M40" s="129">
        <v>1</v>
      </c>
      <c r="O40" s="129">
        <f t="shared" si="5"/>
        <v>1</v>
      </c>
      <c r="Q40" s="129">
        <f t="shared" si="6"/>
        <v>1</v>
      </c>
    </row>
    <row r="41" spans="1:17" ht="13.5" customHeight="1" x14ac:dyDescent="0.25">
      <c r="A41" s="60" t="s">
        <v>900</v>
      </c>
      <c r="B41" s="61"/>
      <c r="C41" s="42" t="s">
        <v>901</v>
      </c>
      <c r="D41" s="42"/>
      <c r="E41" s="209" t="str">
        <f t="shared" si="2"/>
        <v>4A</v>
      </c>
      <c r="G41" s="129">
        <v>5</v>
      </c>
      <c r="H41" s="130"/>
      <c r="I41" s="129">
        <v>5</v>
      </c>
      <c r="J41" s="130"/>
      <c r="K41" s="131">
        <v>5</v>
      </c>
      <c r="L41" s="214"/>
      <c r="M41" s="131">
        <v>5</v>
      </c>
      <c r="O41" s="129">
        <f t="shared" si="5"/>
        <v>5</v>
      </c>
      <c r="Q41" s="129">
        <f t="shared" si="6"/>
        <v>5</v>
      </c>
    </row>
    <row r="42" spans="1:17" ht="13.5" customHeight="1" x14ac:dyDescent="0.25">
      <c r="A42" s="60" t="s">
        <v>902</v>
      </c>
      <c r="B42" s="61"/>
      <c r="C42" s="42" t="s">
        <v>37</v>
      </c>
      <c r="D42" s="42"/>
      <c r="E42" s="209" t="str">
        <f t="shared" si="2"/>
        <v>2A</v>
      </c>
      <c r="G42" s="129">
        <v>0</v>
      </c>
      <c r="H42" s="130"/>
      <c r="I42" s="129">
        <v>0</v>
      </c>
      <c r="J42" s="130"/>
      <c r="K42" s="129">
        <v>0</v>
      </c>
      <c r="L42" s="130"/>
      <c r="M42" s="129">
        <v>0</v>
      </c>
      <c r="O42" s="129">
        <f>M42</f>
        <v>0</v>
      </c>
      <c r="Q42" s="129">
        <f>O42</f>
        <v>0</v>
      </c>
    </row>
    <row r="43" spans="1:17" ht="13.5" customHeight="1" x14ac:dyDescent="0.25">
      <c r="A43" s="60" t="s">
        <v>903</v>
      </c>
      <c r="B43" s="61"/>
      <c r="C43" s="42" t="s">
        <v>41</v>
      </c>
      <c r="D43" s="42"/>
      <c r="E43" s="209" t="str">
        <f t="shared" si="2"/>
        <v>3C</v>
      </c>
      <c r="G43" s="129">
        <v>1</v>
      </c>
      <c r="H43" s="130"/>
      <c r="I43" s="129">
        <v>0</v>
      </c>
      <c r="J43" s="130"/>
      <c r="K43" s="129">
        <v>0</v>
      </c>
      <c r="L43" s="130"/>
      <c r="M43" s="129">
        <v>0</v>
      </c>
      <c r="O43" s="129">
        <f>M43</f>
        <v>0</v>
      </c>
      <c r="Q43" s="129">
        <f>O43</f>
        <v>0</v>
      </c>
    </row>
    <row r="44" spans="1:17" ht="13.5" customHeight="1" x14ac:dyDescent="0.25">
      <c r="A44" s="60" t="s">
        <v>899</v>
      </c>
      <c r="B44" s="61"/>
      <c r="C44" s="42" t="s">
        <v>46</v>
      </c>
      <c r="D44" s="42"/>
      <c r="E44" s="209" t="str">
        <f t="shared" si="2"/>
        <v>4C</v>
      </c>
      <c r="G44" s="129">
        <v>1</v>
      </c>
      <c r="H44" s="130"/>
      <c r="I44" s="129">
        <v>0</v>
      </c>
      <c r="J44" s="130"/>
      <c r="K44" s="129">
        <v>0</v>
      </c>
      <c r="L44" s="130"/>
      <c r="M44" s="129">
        <v>0</v>
      </c>
      <c r="O44" s="129">
        <f>M44</f>
        <v>0</v>
      </c>
      <c r="Q44" s="129">
        <f>O44</f>
        <v>0</v>
      </c>
    </row>
    <row r="45" spans="1:17" ht="13.5" customHeight="1" x14ac:dyDescent="0.25">
      <c r="A45" s="60"/>
      <c r="B45" s="61"/>
      <c r="C45" s="42"/>
      <c r="D45" s="42"/>
      <c r="E45" s="209" t="str">
        <f t="shared" si="2"/>
        <v/>
      </c>
      <c r="G45" s="129"/>
      <c r="H45" s="130"/>
      <c r="I45" s="129"/>
      <c r="J45" s="130"/>
      <c r="K45" s="101"/>
      <c r="L45" s="130"/>
      <c r="M45" s="101"/>
      <c r="O45" s="129"/>
      <c r="Q45" s="129"/>
    </row>
    <row r="46" spans="1:17" ht="22.15" customHeight="1" x14ac:dyDescent="0.25">
      <c r="A46" s="172" t="s">
        <v>904</v>
      </c>
      <c r="B46" s="70"/>
      <c r="E46" s="209" t="str">
        <f t="shared" si="2"/>
        <v/>
      </c>
      <c r="G46" s="191">
        <f>SUM(G30:G45)</f>
        <v>16</v>
      </c>
      <c r="H46" s="130"/>
      <c r="I46" s="191">
        <f>SUM(I30:I45)</f>
        <v>16</v>
      </c>
      <c r="J46" s="130"/>
      <c r="K46" s="191">
        <f>SUM(K30:K45)</f>
        <v>16</v>
      </c>
      <c r="L46" s="130"/>
      <c r="M46" s="191">
        <f>SUM(M30:M45)</f>
        <v>16</v>
      </c>
      <c r="O46" s="191">
        <f>SUM(O30:O45)</f>
        <v>16</v>
      </c>
      <c r="Q46" s="191">
        <f>SUM(Q30:Q45)</f>
        <v>16</v>
      </c>
    </row>
    <row r="47" spans="1:17" ht="22.15" customHeight="1" x14ac:dyDescent="0.25">
      <c r="A47" s="100" t="s">
        <v>333</v>
      </c>
      <c r="B47" s="70"/>
      <c r="E47" s="209" t="str">
        <f t="shared" si="2"/>
        <v/>
      </c>
      <c r="G47" s="129"/>
      <c r="H47" s="130"/>
      <c r="I47" s="129"/>
      <c r="J47" s="130"/>
      <c r="K47" s="129"/>
      <c r="L47" s="130"/>
      <c r="M47" s="129"/>
      <c r="O47" s="129"/>
      <c r="Q47" s="129"/>
    </row>
    <row r="48" spans="1:17" ht="13.5" customHeight="1" x14ac:dyDescent="0.25">
      <c r="A48" s="60" t="s">
        <v>900</v>
      </c>
      <c r="B48" s="61"/>
      <c r="C48" s="42" t="s">
        <v>725</v>
      </c>
      <c r="D48" s="42"/>
      <c r="E48" s="209" t="str">
        <f t="shared" si="2"/>
        <v>4APT</v>
      </c>
      <c r="G48" s="129">
        <v>5</v>
      </c>
      <c r="H48" s="130"/>
      <c r="I48" s="129">
        <v>5</v>
      </c>
      <c r="J48" s="130"/>
      <c r="K48" s="101">
        <v>5</v>
      </c>
      <c r="L48" s="130"/>
      <c r="M48" s="101">
        <v>5</v>
      </c>
      <c r="O48" s="129">
        <f>M48</f>
        <v>5</v>
      </c>
      <c r="Q48" s="129">
        <f>O48</f>
        <v>5</v>
      </c>
    </row>
    <row r="49" spans="1:17" ht="22.15" customHeight="1" x14ac:dyDescent="0.25">
      <c r="A49" s="172" t="s">
        <v>905</v>
      </c>
      <c r="B49" s="70"/>
      <c r="C49" s="42"/>
      <c r="D49" s="42"/>
      <c r="E49" s="209" t="str">
        <f t="shared" si="2"/>
        <v/>
      </c>
      <c r="G49" s="191">
        <f>G48</f>
        <v>5</v>
      </c>
      <c r="H49" s="130"/>
      <c r="I49" s="191">
        <f>I48</f>
        <v>5</v>
      </c>
      <c r="J49" s="130"/>
      <c r="K49" s="191">
        <f>K48</f>
        <v>5</v>
      </c>
      <c r="L49" s="130"/>
      <c r="M49" s="191">
        <f>M48</f>
        <v>5</v>
      </c>
      <c r="O49" s="191">
        <f>O48</f>
        <v>5</v>
      </c>
      <c r="Q49" s="191">
        <f>Q48</f>
        <v>5</v>
      </c>
    </row>
    <row r="50" spans="1:17" ht="22.15" customHeight="1" thickBot="1" x14ac:dyDescent="0.3">
      <c r="A50" s="49" t="s">
        <v>332</v>
      </c>
      <c r="B50" s="50"/>
      <c r="E50" s="209" t="str">
        <f t="shared" si="2"/>
        <v/>
      </c>
      <c r="G50" s="103">
        <f>+G46+G49</f>
        <v>21</v>
      </c>
      <c r="H50" s="130"/>
      <c r="I50" s="103">
        <f>+I46+I49</f>
        <v>21</v>
      </c>
      <c r="J50" s="130"/>
      <c r="K50" s="103">
        <f>+K46+K49</f>
        <v>21</v>
      </c>
      <c r="L50" s="130"/>
      <c r="M50" s="103">
        <f>+M46+M49</f>
        <v>21</v>
      </c>
      <c r="O50" s="103">
        <f>+O46+O49</f>
        <v>21</v>
      </c>
      <c r="Q50" s="103">
        <f>+Q46+Q49</f>
        <v>21</v>
      </c>
    </row>
    <row r="51" spans="1:17" ht="13.5" customHeight="1" thickTop="1" x14ac:dyDescent="0.25">
      <c r="A51" s="210" t="s">
        <v>52</v>
      </c>
      <c r="E51" s="209" t="str">
        <f t="shared" si="2"/>
        <v/>
      </c>
      <c r="G51" s="45"/>
      <c r="H51" s="67"/>
      <c r="I51" s="45"/>
      <c r="J51" s="67"/>
      <c r="K51" s="45"/>
      <c r="L51" s="67"/>
      <c r="M51" s="45"/>
      <c r="O51" s="45"/>
      <c r="Q51" s="45"/>
    </row>
    <row r="52" spans="1:17" ht="15" customHeight="1" x14ac:dyDescent="0.25">
      <c r="A52" s="40" t="s">
        <v>906</v>
      </c>
      <c r="B52" s="93" t="s">
        <v>885</v>
      </c>
      <c r="C52" s="211">
        <v>503140</v>
      </c>
      <c r="D52" s="211"/>
      <c r="E52" s="209" t="str">
        <f t="shared" si="2"/>
        <v>00109070503140</v>
      </c>
      <c r="F52" s="42" t="s">
        <v>19</v>
      </c>
      <c r="G52" s="34">
        <f t="shared" ref="G52:G115" si="7">ROUND(IFERROR(VLOOKUP(_xlfn.CONCAT($B52,$C52,$D52),$A$129:$C$9996,3,FALSE),0),0)</f>
        <v>0</v>
      </c>
      <c r="H52" s="42" t="s">
        <v>19</v>
      </c>
      <c r="I52" s="34">
        <f t="shared" ref="I52:I115" si="8">ROUND(IFERROR(VLOOKUP(_xlfn.CONCAT($B52,$C52,$D52),$A$129:$C$9996,2,FALSE),0),0)</f>
        <v>0</v>
      </c>
      <c r="J52" s="42" t="s">
        <v>19</v>
      </c>
      <c r="K52" s="45">
        <v>0</v>
      </c>
      <c r="L52" s="42" t="s">
        <v>19</v>
      </c>
      <c r="M52" s="234">
        <v>0</v>
      </c>
      <c r="N52" s="141" t="s">
        <v>19</v>
      </c>
      <c r="O52" s="45">
        <f>M52</f>
        <v>0</v>
      </c>
      <c r="P52" s="141" t="s">
        <v>19</v>
      </c>
      <c r="Q52" s="45">
        <f>O52</f>
        <v>0</v>
      </c>
    </row>
    <row r="53" spans="1:17" ht="13.5" customHeight="1" x14ac:dyDescent="0.25">
      <c r="A53" s="40" t="s">
        <v>907</v>
      </c>
      <c r="B53" s="93" t="s">
        <v>885</v>
      </c>
      <c r="C53" s="211">
        <v>503403</v>
      </c>
      <c r="D53" s="211"/>
      <c r="E53" s="209" t="str">
        <f t="shared" si="2"/>
        <v>00109070503403</v>
      </c>
      <c r="F53" s="42" t="s">
        <v>19</v>
      </c>
      <c r="G53" s="34">
        <f t="shared" si="7"/>
        <v>0</v>
      </c>
      <c r="H53" s="42" t="s">
        <v>19</v>
      </c>
      <c r="I53" s="34">
        <f t="shared" si="8"/>
        <v>0</v>
      </c>
      <c r="J53" s="42" t="s">
        <v>19</v>
      </c>
      <c r="K53" s="45">
        <v>0</v>
      </c>
      <c r="L53" s="42" t="s">
        <v>19</v>
      </c>
      <c r="M53" s="234">
        <v>0</v>
      </c>
      <c r="N53" s="141" t="s">
        <v>19</v>
      </c>
      <c r="O53" s="45">
        <f t="shared" ref="O53:O116" si="9">M53</f>
        <v>0</v>
      </c>
      <c r="P53" s="141" t="s">
        <v>19</v>
      </c>
      <c r="Q53" s="45">
        <f>O53</f>
        <v>0</v>
      </c>
    </row>
    <row r="54" spans="1:17" ht="13.5" customHeight="1" x14ac:dyDescent="0.25">
      <c r="A54" s="40" t="s">
        <v>908</v>
      </c>
      <c r="B54" s="93" t="s">
        <v>885</v>
      </c>
      <c r="C54" s="208">
        <v>503410</v>
      </c>
      <c r="D54" s="208"/>
      <c r="E54" s="209" t="str">
        <f t="shared" si="2"/>
        <v>00109070503410</v>
      </c>
      <c r="G54" s="34">
        <f t="shared" si="7"/>
        <v>7292</v>
      </c>
      <c r="I54" s="34">
        <f t="shared" si="8"/>
        <v>15587</v>
      </c>
      <c r="K54" s="45">
        <v>0</v>
      </c>
      <c r="M54" s="234">
        <v>0</v>
      </c>
      <c r="N54" s="141"/>
      <c r="O54" s="45">
        <f t="shared" si="9"/>
        <v>0</v>
      </c>
      <c r="P54" s="141"/>
      <c r="Q54" s="45">
        <f t="shared" ref="Q54:Q117" si="10">O54</f>
        <v>0</v>
      </c>
    </row>
    <row r="55" spans="1:17" ht="13.5" customHeight="1" x14ac:dyDescent="0.25">
      <c r="A55" s="60" t="s">
        <v>909</v>
      </c>
      <c r="B55" s="93" t="s">
        <v>885</v>
      </c>
      <c r="E55" s="209" t="str">
        <f t="shared" si="2"/>
        <v>00109070</v>
      </c>
      <c r="G55" s="34">
        <f t="shared" si="7"/>
        <v>0</v>
      </c>
      <c r="H55" s="67"/>
      <c r="I55" s="34">
        <f t="shared" si="8"/>
        <v>0</v>
      </c>
      <c r="J55" s="67"/>
      <c r="K55" s="45">
        <v>10000</v>
      </c>
      <c r="L55" s="67"/>
      <c r="M55" s="234">
        <v>10000</v>
      </c>
      <c r="O55" s="45">
        <f t="shared" si="9"/>
        <v>10000</v>
      </c>
      <c r="Q55" s="45">
        <f t="shared" si="10"/>
        <v>10000</v>
      </c>
    </row>
    <row r="56" spans="1:17" ht="13.5" customHeight="1" x14ac:dyDescent="0.25">
      <c r="A56" s="40" t="s">
        <v>910</v>
      </c>
      <c r="B56" s="93" t="s">
        <v>885</v>
      </c>
      <c r="C56" s="208">
        <v>503440</v>
      </c>
      <c r="D56" s="208"/>
      <c r="E56" s="209" t="str">
        <f t="shared" si="2"/>
        <v>00109070503440</v>
      </c>
      <c r="G56" s="34">
        <f t="shared" si="7"/>
        <v>6739</v>
      </c>
      <c r="H56" s="67"/>
      <c r="I56" s="34">
        <f t="shared" si="8"/>
        <v>9041</v>
      </c>
      <c r="J56" s="67"/>
      <c r="K56" s="45">
        <v>12500</v>
      </c>
      <c r="L56" s="67"/>
      <c r="M56" s="234">
        <v>12500</v>
      </c>
      <c r="O56" s="45">
        <f t="shared" si="9"/>
        <v>12500</v>
      </c>
      <c r="Q56" s="45">
        <f t="shared" si="10"/>
        <v>12500</v>
      </c>
    </row>
    <row r="57" spans="1:17" ht="13.5" customHeight="1" x14ac:dyDescent="0.25">
      <c r="A57" s="40" t="s">
        <v>125</v>
      </c>
      <c r="B57" s="93" t="s">
        <v>885</v>
      </c>
      <c r="C57" s="208">
        <v>503450</v>
      </c>
      <c r="D57" s="208"/>
      <c r="E57" s="209" t="str">
        <f t="shared" si="2"/>
        <v>00109070503450</v>
      </c>
      <c r="G57" s="34">
        <f t="shared" si="7"/>
        <v>2200</v>
      </c>
      <c r="H57" s="67"/>
      <c r="I57" s="34">
        <f t="shared" si="8"/>
        <v>2230</v>
      </c>
      <c r="J57" s="67"/>
      <c r="K57" s="45">
        <v>2500</v>
      </c>
      <c r="L57" s="67"/>
      <c r="M57" s="234">
        <v>2500</v>
      </c>
      <c r="O57" s="45">
        <f t="shared" si="9"/>
        <v>2500</v>
      </c>
      <c r="Q57" s="45">
        <f t="shared" si="10"/>
        <v>2500</v>
      </c>
    </row>
    <row r="58" spans="1:17" ht="13.5" customHeight="1" x14ac:dyDescent="0.25">
      <c r="A58" s="60" t="s">
        <v>911</v>
      </c>
      <c r="B58" s="93" t="s">
        <v>885</v>
      </c>
      <c r="C58" s="208"/>
      <c r="D58" s="208"/>
      <c r="E58" s="209" t="str">
        <f t="shared" si="2"/>
        <v>00109070</v>
      </c>
      <c r="G58" s="34">
        <f t="shared" si="7"/>
        <v>0</v>
      </c>
      <c r="H58" s="67"/>
      <c r="I58" s="34">
        <f t="shared" si="8"/>
        <v>0</v>
      </c>
      <c r="J58" s="67"/>
      <c r="K58" s="45">
        <v>1850</v>
      </c>
      <c r="L58" s="67"/>
      <c r="M58" s="234">
        <v>1850</v>
      </c>
      <c r="O58" s="45">
        <f t="shared" si="9"/>
        <v>1850</v>
      </c>
      <c r="Q58" s="45">
        <f t="shared" si="10"/>
        <v>1850</v>
      </c>
    </row>
    <row r="59" spans="1:17" ht="13.5" customHeight="1" x14ac:dyDescent="0.25">
      <c r="A59" s="60" t="s">
        <v>912</v>
      </c>
      <c r="B59" s="93" t="s">
        <v>885</v>
      </c>
      <c r="C59" s="208"/>
      <c r="D59" s="208"/>
      <c r="E59" s="209" t="str">
        <f t="shared" si="2"/>
        <v>00109070</v>
      </c>
      <c r="G59" s="34">
        <f t="shared" si="7"/>
        <v>0</v>
      </c>
      <c r="H59" s="67"/>
      <c r="I59" s="34">
        <f t="shared" si="8"/>
        <v>0</v>
      </c>
      <c r="J59" s="67"/>
      <c r="K59" s="45">
        <v>2500</v>
      </c>
      <c r="L59" s="67"/>
      <c r="M59" s="234">
        <v>2500</v>
      </c>
      <c r="O59" s="45">
        <f t="shared" si="9"/>
        <v>2500</v>
      </c>
      <c r="Q59" s="45">
        <f t="shared" si="10"/>
        <v>2500</v>
      </c>
    </row>
    <row r="60" spans="1:17" ht="13.5" customHeight="1" x14ac:dyDescent="0.25">
      <c r="A60" s="40" t="s">
        <v>226</v>
      </c>
      <c r="B60" s="93" t="s">
        <v>885</v>
      </c>
      <c r="D60" s="211"/>
      <c r="E60" s="209" t="str">
        <f t="shared" si="2"/>
        <v>00109070</v>
      </c>
      <c r="G60" s="34">
        <f t="shared" si="7"/>
        <v>0</v>
      </c>
      <c r="H60" s="67"/>
      <c r="I60" s="34">
        <f t="shared" si="8"/>
        <v>0</v>
      </c>
      <c r="J60" s="67"/>
      <c r="K60" s="45"/>
      <c r="L60" s="67"/>
      <c r="M60" s="234"/>
      <c r="O60" s="45"/>
      <c r="Q60" s="45"/>
    </row>
    <row r="61" spans="1:17" ht="13.5" customHeight="1" x14ac:dyDescent="0.25">
      <c r="A61" s="60" t="s">
        <v>913</v>
      </c>
      <c r="B61" s="93" t="s">
        <v>885</v>
      </c>
      <c r="C61" s="211">
        <v>503460</v>
      </c>
      <c r="D61" s="211"/>
      <c r="E61" s="209" t="str">
        <f t="shared" si="2"/>
        <v>00109070503460</v>
      </c>
      <c r="G61" s="34">
        <f t="shared" si="7"/>
        <v>0</v>
      </c>
      <c r="H61" s="67"/>
      <c r="I61" s="34">
        <f t="shared" si="8"/>
        <v>0</v>
      </c>
      <c r="J61" s="67"/>
      <c r="K61" s="45">
        <v>2000</v>
      </c>
      <c r="L61" s="67"/>
      <c r="M61" s="234">
        <v>2000</v>
      </c>
      <c r="O61" s="45">
        <f t="shared" si="9"/>
        <v>2000</v>
      </c>
      <c r="Q61" s="45">
        <f t="shared" si="10"/>
        <v>2000</v>
      </c>
    </row>
    <row r="62" spans="1:17" ht="13.5" customHeight="1" x14ac:dyDescent="0.25">
      <c r="A62" s="40" t="s">
        <v>193</v>
      </c>
      <c r="B62" s="93" t="s">
        <v>885</v>
      </c>
      <c r="D62" s="208"/>
      <c r="E62" s="209" t="str">
        <f t="shared" si="2"/>
        <v>00109070</v>
      </c>
      <c r="G62" s="34">
        <f t="shared" si="7"/>
        <v>0</v>
      </c>
      <c r="H62" s="67"/>
      <c r="I62" s="34">
        <f t="shared" si="8"/>
        <v>0</v>
      </c>
      <c r="J62" s="67"/>
      <c r="K62" s="45"/>
      <c r="L62" s="67"/>
      <c r="M62" s="234"/>
      <c r="O62" s="45"/>
      <c r="Q62" s="45"/>
    </row>
    <row r="63" spans="1:17" ht="13.5" customHeight="1" x14ac:dyDescent="0.25">
      <c r="A63" s="60" t="s">
        <v>914</v>
      </c>
      <c r="B63" s="93" t="s">
        <v>885</v>
      </c>
      <c r="C63" s="208">
        <v>503499</v>
      </c>
      <c r="D63" s="208"/>
      <c r="E63" s="209" t="str">
        <f t="shared" si="2"/>
        <v>00109070503499</v>
      </c>
      <c r="G63" s="34">
        <f t="shared" si="7"/>
        <v>0</v>
      </c>
      <c r="H63" s="67"/>
      <c r="I63" s="34">
        <f t="shared" si="8"/>
        <v>9474</v>
      </c>
      <c r="J63" s="67"/>
      <c r="K63" s="45">
        <v>12000</v>
      </c>
      <c r="L63" s="67"/>
      <c r="M63" s="234">
        <v>12000</v>
      </c>
      <c r="O63" s="45">
        <f t="shared" si="9"/>
        <v>12000</v>
      </c>
      <c r="Q63" s="45">
        <f t="shared" si="10"/>
        <v>12000</v>
      </c>
    </row>
    <row r="64" spans="1:17" ht="13.5" customHeight="1" x14ac:dyDescent="0.25">
      <c r="A64" s="40" t="s">
        <v>59</v>
      </c>
      <c r="B64" s="93" t="s">
        <v>885</v>
      </c>
      <c r="C64" s="208">
        <v>503901</v>
      </c>
      <c r="D64" s="208"/>
      <c r="E64" s="209" t="str">
        <f t="shared" si="2"/>
        <v>00109070503901</v>
      </c>
      <c r="G64" s="34">
        <f t="shared" si="7"/>
        <v>340</v>
      </c>
      <c r="H64" s="67"/>
      <c r="I64" s="34">
        <f t="shared" si="8"/>
        <v>679</v>
      </c>
      <c r="J64" s="67"/>
      <c r="K64" s="45">
        <v>3000</v>
      </c>
      <c r="L64" s="67"/>
      <c r="M64" s="234">
        <v>3000</v>
      </c>
      <c r="O64" s="45">
        <f t="shared" si="9"/>
        <v>3000</v>
      </c>
      <c r="Q64" s="45">
        <f t="shared" si="10"/>
        <v>3000</v>
      </c>
    </row>
    <row r="65" spans="1:17" ht="13.5" customHeight="1" x14ac:dyDescent="0.25">
      <c r="A65" s="40" t="s">
        <v>339</v>
      </c>
      <c r="B65" s="93" t="s">
        <v>885</v>
      </c>
      <c r="C65" s="208"/>
      <c r="D65" s="208"/>
      <c r="E65" s="209" t="str">
        <f t="shared" si="2"/>
        <v>00109070</v>
      </c>
      <c r="G65" s="34">
        <f t="shared" si="7"/>
        <v>0</v>
      </c>
      <c r="H65" s="67"/>
      <c r="I65" s="34">
        <f t="shared" si="8"/>
        <v>0</v>
      </c>
      <c r="J65" s="67"/>
      <c r="K65" s="45">
        <v>0</v>
      </c>
      <c r="L65" s="67"/>
      <c r="M65" s="234">
        <v>0</v>
      </c>
      <c r="O65" s="45">
        <f t="shared" si="9"/>
        <v>0</v>
      </c>
      <c r="Q65" s="45">
        <f t="shared" si="10"/>
        <v>0</v>
      </c>
    </row>
    <row r="66" spans="1:17" ht="13.5" customHeight="1" x14ac:dyDescent="0.25">
      <c r="A66" s="40" t="s">
        <v>61</v>
      </c>
      <c r="B66" s="93" t="s">
        <v>885</v>
      </c>
      <c r="C66" s="41">
        <v>504060</v>
      </c>
      <c r="D66" s="41"/>
      <c r="E66" s="209" t="str">
        <f t="shared" si="2"/>
        <v>00109070504060</v>
      </c>
      <c r="G66" s="34">
        <f t="shared" si="7"/>
        <v>489</v>
      </c>
      <c r="I66" s="34">
        <f t="shared" si="8"/>
        <v>1382</v>
      </c>
      <c r="K66" s="45">
        <v>5000</v>
      </c>
      <c r="M66" s="234">
        <v>5000</v>
      </c>
      <c r="N66" s="141"/>
      <c r="O66" s="45">
        <f t="shared" si="9"/>
        <v>5000</v>
      </c>
      <c r="Q66" s="45">
        <f t="shared" si="10"/>
        <v>5000</v>
      </c>
    </row>
    <row r="67" spans="1:17" ht="13.5" customHeight="1" x14ac:dyDescent="0.25">
      <c r="A67" s="40" t="s">
        <v>62</v>
      </c>
      <c r="B67" s="93" t="s">
        <v>885</v>
      </c>
      <c r="C67" s="192">
        <v>504070</v>
      </c>
      <c r="D67" s="192"/>
      <c r="E67" s="209" t="str">
        <f t="shared" si="2"/>
        <v>00109070504070</v>
      </c>
      <c r="G67" s="34">
        <f t="shared" si="7"/>
        <v>2845</v>
      </c>
      <c r="I67" s="34">
        <f t="shared" si="8"/>
        <v>-1310</v>
      </c>
      <c r="K67" s="45">
        <v>3000</v>
      </c>
      <c r="M67" s="234">
        <v>3000</v>
      </c>
      <c r="N67" s="141"/>
      <c r="O67" s="45">
        <f t="shared" si="9"/>
        <v>3000</v>
      </c>
      <c r="Q67" s="45">
        <f t="shared" si="10"/>
        <v>3000</v>
      </c>
    </row>
    <row r="68" spans="1:17" ht="13.5" customHeight="1" x14ac:dyDescent="0.25">
      <c r="A68" s="40" t="s">
        <v>491</v>
      </c>
      <c r="B68" s="93" t="s">
        <v>885</v>
      </c>
      <c r="C68" s="208">
        <v>504310</v>
      </c>
      <c r="D68" s="208"/>
      <c r="E68" s="209" t="str">
        <f t="shared" si="2"/>
        <v>00109070504310</v>
      </c>
      <c r="G68" s="34">
        <f t="shared" si="7"/>
        <v>932925</v>
      </c>
      <c r="H68" s="67"/>
      <c r="I68" s="34">
        <f t="shared" si="8"/>
        <v>951377</v>
      </c>
      <c r="J68" s="67"/>
      <c r="K68" s="45">
        <v>1045000.0000000001</v>
      </c>
      <c r="L68" s="67"/>
      <c r="M68" s="234">
        <f>950000*1.1</f>
        <v>1045000.0000000001</v>
      </c>
      <c r="O68" s="45">
        <f t="shared" si="9"/>
        <v>1045000.0000000001</v>
      </c>
      <c r="Q68" s="45">
        <f t="shared" si="10"/>
        <v>1045000.0000000001</v>
      </c>
    </row>
    <row r="69" spans="1:17" ht="13.5" customHeight="1" x14ac:dyDescent="0.25">
      <c r="A69" s="40" t="s">
        <v>915</v>
      </c>
      <c r="B69" s="93" t="s">
        <v>885</v>
      </c>
      <c r="C69" s="211">
        <v>504315</v>
      </c>
      <c r="D69" s="211"/>
      <c r="E69" s="209" t="str">
        <f t="shared" si="2"/>
        <v>00109070504315</v>
      </c>
      <c r="G69" s="34">
        <f t="shared" si="7"/>
        <v>332985</v>
      </c>
      <c r="H69" s="67"/>
      <c r="I69" s="34">
        <f t="shared" si="8"/>
        <v>347796</v>
      </c>
      <c r="J69" s="67"/>
      <c r="K69" s="45">
        <v>429000.00000000006</v>
      </c>
      <c r="L69" s="67"/>
      <c r="M69" s="234">
        <f>390000*1.1</f>
        <v>429000.00000000006</v>
      </c>
      <c r="O69" s="45">
        <f t="shared" si="9"/>
        <v>429000.00000000006</v>
      </c>
      <c r="Q69" s="45">
        <f t="shared" si="10"/>
        <v>429000.00000000006</v>
      </c>
    </row>
    <row r="70" spans="1:17" ht="13.5" customHeight="1" x14ac:dyDescent="0.25">
      <c r="A70" s="40" t="s">
        <v>127</v>
      </c>
      <c r="B70" s="93" t="s">
        <v>885</v>
      </c>
      <c r="C70" s="69">
        <v>504430</v>
      </c>
      <c r="D70" s="69"/>
      <c r="E70" s="209" t="str">
        <f t="shared" si="2"/>
        <v>00109070504430</v>
      </c>
      <c r="G70" s="34">
        <f t="shared" si="7"/>
        <v>810</v>
      </c>
      <c r="H70" s="67"/>
      <c r="I70" s="34">
        <f t="shared" si="8"/>
        <v>13436</v>
      </c>
      <c r="J70" s="67"/>
      <c r="K70" s="45">
        <v>5000</v>
      </c>
      <c r="L70" s="67"/>
      <c r="M70" s="234">
        <v>5000</v>
      </c>
      <c r="O70" s="45">
        <f t="shared" si="9"/>
        <v>5000</v>
      </c>
      <c r="Q70" s="45">
        <f t="shared" si="10"/>
        <v>5000</v>
      </c>
    </row>
    <row r="71" spans="1:17" ht="13.5" customHeight="1" x14ac:dyDescent="0.25">
      <c r="A71" s="40" t="s">
        <v>229</v>
      </c>
      <c r="B71" s="93" t="s">
        <v>885</v>
      </c>
      <c r="C71" s="208">
        <v>504601</v>
      </c>
      <c r="D71" s="208"/>
      <c r="E71" s="209" t="str">
        <f t="shared" si="2"/>
        <v>00109070504601</v>
      </c>
      <c r="G71" s="34">
        <f t="shared" si="7"/>
        <v>186090</v>
      </c>
      <c r="H71" s="67"/>
      <c r="I71" s="34">
        <f t="shared" si="8"/>
        <v>196252</v>
      </c>
      <c r="J71" s="67"/>
      <c r="K71" s="45">
        <v>0</v>
      </c>
      <c r="L71" s="67"/>
      <c r="M71" s="234">
        <v>0</v>
      </c>
      <c r="O71" s="45">
        <f t="shared" si="9"/>
        <v>0</v>
      </c>
      <c r="P71" s="15"/>
      <c r="Q71" s="45">
        <f t="shared" si="10"/>
        <v>0</v>
      </c>
    </row>
    <row r="72" spans="1:17" ht="13.5" customHeight="1" x14ac:dyDescent="0.25">
      <c r="A72" s="60" t="s">
        <v>916</v>
      </c>
      <c r="B72" s="93" t="s">
        <v>885</v>
      </c>
      <c r="C72" s="208"/>
      <c r="D72" s="208"/>
      <c r="E72" s="209" t="str">
        <f t="shared" si="2"/>
        <v>00109070</v>
      </c>
      <c r="G72" s="34">
        <f t="shared" si="7"/>
        <v>0</v>
      </c>
      <c r="H72" s="67"/>
      <c r="I72" s="34">
        <f t="shared" si="8"/>
        <v>0</v>
      </c>
      <c r="J72" s="67"/>
      <c r="K72" s="45">
        <v>30000</v>
      </c>
      <c r="L72" s="67"/>
      <c r="M72" s="234">
        <v>30000</v>
      </c>
      <c r="O72" s="45">
        <f t="shared" si="9"/>
        <v>30000</v>
      </c>
      <c r="Q72" s="45">
        <f t="shared" si="10"/>
        <v>30000</v>
      </c>
    </row>
    <row r="73" spans="1:17" ht="13.5" customHeight="1" x14ac:dyDescent="0.25">
      <c r="A73" s="60" t="s">
        <v>917</v>
      </c>
      <c r="B73" s="93" t="s">
        <v>885</v>
      </c>
      <c r="C73" s="208"/>
      <c r="D73" s="208"/>
      <c r="E73" s="209" t="str">
        <f t="shared" si="2"/>
        <v>00109070</v>
      </c>
      <c r="G73" s="34">
        <f t="shared" si="7"/>
        <v>0</v>
      </c>
      <c r="H73" s="67"/>
      <c r="I73" s="34">
        <f t="shared" si="8"/>
        <v>0</v>
      </c>
      <c r="J73" s="67"/>
      <c r="K73" s="45">
        <v>11400</v>
      </c>
      <c r="L73" s="67"/>
      <c r="M73" s="234">
        <v>11400</v>
      </c>
      <c r="O73" s="45">
        <f t="shared" si="9"/>
        <v>11400</v>
      </c>
      <c r="Q73" s="45">
        <f t="shared" si="10"/>
        <v>11400</v>
      </c>
    </row>
    <row r="74" spans="1:17" ht="13.5" customHeight="1" x14ac:dyDescent="0.25">
      <c r="A74" s="60" t="s">
        <v>918</v>
      </c>
      <c r="B74" s="93" t="s">
        <v>885</v>
      </c>
      <c r="C74" s="208"/>
      <c r="D74" s="208"/>
      <c r="E74" s="209" t="str">
        <f t="shared" si="2"/>
        <v>00109070</v>
      </c>
      <c r="G74" s="34">
        <f t="shared" si="7"/>
        <v>0</v>
      </c>
      <c r="H74" s="67"/>
      <c r="I74" s="34">
        <f t="shared" si="8"/>
        <v>0</v>
      </c>
      <c r="J74" s="67"/>
      <c r="K74" s="126">
        <v>36000</v>
      </c>
      <c r="L74" s="67"/>
      <c r="M74" s="234">
        <v>36000</v>
      </c>
      <c r="O74" s="45">
        <f t="shared" si="9"/>
        <v>36000</v>
      </c>
      <c r="Q74" s="45">
        <f t="shared" si="10"/>
        <v>36000</v>
      </c>
    </row>
    <row r="75" spans="1:17" ht="13.5" customHeight="1" x14ac:dyDescent="0.25">
      <c r="A75" s="60" t="s">
        <v>919</v>
      </c>
      <c r="B75" s="93" t="s">
        <v>885</v>
      </c>
      <c r="C75" s="208"/>
      <c r="D75" s="208"/>
      <c r="E75" s="209" t="str">
        <f t="shared" si="2"/>
        <v>00109070</v>
      </c>
      <c r="G75" s="34">
        <f t="shared" si="7"/>
        <v>0</v>
      </c>
      <c r="H75" s="67"/>
      <c r="I75" s="34">
        <f t="shared" si="8"/>
        <v>0</v>
      </c>
      <c r="J75" s="67"/>
      <c r="K75" s="126">
        <v>30000</v>
      </c>
      <c r="L75" s="67"/>
      <c r="M75" s="234">
        <v>30000</v>
      </c>
      <c r="O75" s="45">
        <f t="shared" si="9"/>
        <v>30000</v>
      </c>
      <c r="Q75" s="45">
        <f t="shared" si="10"/>
        <v>30000</v>
      </c>
    </row>
    <row r="76" spans="1:17" ht="13.5" customHeight="1" x14ac:dyDescent="0.25">
      <c r="A76" s="60" t="s">
        <v>920</v>
      </c>
      <c r="B76" s="93" t="s">
        <v>885</v>
      </c>
      <c r="C76" s="208"/>
      <c r="D76" s="208"/>
      <c r="E76" s="209" t="str">
        <f t="shared" si="2"/>
        <v>00109070</v>
      </c>
      <c r="G76" s="34">
        <f t="shared" si="7"/>
        <v>0</v>
      </c>
      <c r="H76" s="67"/>
      <c r="I76" s="34">
        <f t="shared" si="8"/>
        <v>0</v>
      </c>
      <c r="J76" s="67"/>
      <c r="K76" s="126">
        <v>48000</v>
      </c>
      <c r="L76" s="67"/>
      <c r="M76" s="234">
        <v>48000</v>
      </c>
      <c r="O76" s="45">
        <f t="shared" si="9"/>
        <v>48000</v>
      </c>
      <c r="Q76" s="45">
        <f t="shared" si="10"/>
        <v>48000</v>
      </c>
    </row>
    <row r="77" spans="1:17" ht="13.5" customHeight="1" x14ac:dyDescent="0.25">
      <c r="A77" s="60" t="s">
        <v>921</v>
      </c>
      <c r="B77" s="93" t="s">
        <v>885</v>
      </c>
      <c r="C77" s="208"/>
      <c r="D77" s="208"/>
      <c r="E77" s="209" t="str">
        <f t="shared" ref="E77:E119" si="11">_xlfn.CONCAT(B77,C77,D77)</f>
        <v>00109070</v>
      </c>
      <c r="G77" s="34">
        <f t="shared" si="7"/>
        <v>0</v>
      </c>
      <c r="H77" s="67"/>
      <c r="I77" s="34">
        <f t="shared" si="8"/>
        <v>0</v>
      </c>
      <c r="J77" s="67"/>
      <c r="K77" s="126">
        <v>12600</v>
      </c>
      <c r="L77" s="67"/>
      <c r="M77" s="234">
        <v>12600</v>
      </c>
      <c r="O77" s="45">
        <f t="shared" si="9"/>
        <v>12600</v>
      </c>
      <c r="Q77" s="45">
        <f t="shared" si="10"/>
        <v>12600</v>
      </c>
    </row>
    <row r="78" spans="1:17" ht="13.5" customHeight="1" x14ac:dyDescent="0.25">
      <c r="A78" s="60" t="s">
        <v>922</v>
      </c>
      <c r="B78" s="93" t="s">
        <v>885</v>
      </c>
      <c r="C78" s="208"/>
      <c r="D78" s="208"/>
      <c r="E78" s="209" t="str">
        <f t="shared" si="11"/>
        <v>00109070</v>
      </c>
      <c r="G78" s="34">
        <f t="shared" si="7"/>
        <v>0</v>
      </c>
      <c r="H78" s="67"/>
      <c r="I78" s="34">
        <f t="shared" si="8"/>
        <v>0</v>
      </c>
      <c r="J78" s="67"/>
      <c r="K78" s="67">
        <v>0</v>
      </c>
      <c r="L78" s="67"/>
      <c r="M78" s="240">
        <v>0</v>
      </c>
      <c r="O78" s="45">
        <f t="shared" si="9"/>
        <v>0</v>
      </c>
      <c r="Q78" s="45">
        <f t="shared" si="10"/>
        <v>0</v>
      </c>
    </row>
    <row r="79" spans="1:17" ht="13.5" customHeight="1" x14ac:dyDescent="0.25">
      <c r="A79" s="60" t="s">
        <v>923</v>
      </c>
      <c r="B79" s="93" t="s">
        <v>885</v>
      </c>
      <c r="C79" s="208"/>
      <c r="D79" s="208"/>
      <c r="E79" s="209" t="str">
        <f t="shared" si="11"/>
        <v>00109070</v>
      </c>
      <c r="G79" s="34">
        <f t="shared" si="7"/>
        <v>0</v>
      </c>
      <c r="H79" s="67"/>
      <c r="I79" s="34">
        <f t="shared" si="8"/>
        <v>0</v>
      </c>
      <c r="J79" s="67"/>
      <c r="K79" s="67">
        <v>2500</v>
      </c>
      <c r="L79" s="67"/>
      <c r="M79" s="240">
        <v>2500</v>
      </c>
      <c r="O79" s="45">
        <f t="shared" si="9"/>
        <v>2500</v>
      </c>
      <c r="Q79" s="45">
        <f t="shared" si="10"/>
        <v>2500</v>
      </c>
    </row>
    <row r="80" spans="1:17" ht="13.5" customHeight="1" x14ac:dyDescent="0.25">
      <c r="A80" s="60" t="s">
        <v>605</v>
      </c>
      <c r="B80" s="93" t="s">
        <v>885</v>
      </c>
      <c r="C80" s="208"/>
      <c r="D80" s="208"/>
      <c r="E80" s="209" t="str">
        <f t="shared" si="11"/>
        <v>00109070</v>
      </c>
      <c r="G80" s="34">
        <f t="shared" si="7"/>
        <v>0</v>
      </c>
      <c r="H80" s="67"/>
      <c r="I80" s="34">
        <f t="shared" si="8"/>
        <v>0</v>
      </c>
      <c r="J80" s="67"/>
      <c r="K80" s="67">
        <v>5000</v>
      </c>
      <c r="L80" s="67"/>
      <c r="M80" s="240">
        <v>5000</v>
      </c>
      <c r="O80" s="45">
        <f t="shared" si="9"/>
        <v>5000</v>
      </c>
      <c r="Q80" s="45">
        <f t="shared" si="10"/>
        <v>5000</v>
      </c>
    </row>
    <row r="81" spans="1:17" ht="13.5" customHeight="1" x14ac:dyDescent="0.25">
      <c r="A81" s="40" t="s">
        <v>132</v>
      </c>
      <c r="B81" s="93" t="s">
        <v>885</v>
      </c>
      <c r="C81" s="15">
        <v>504610</v>
      </c>
      <c r="D81" s="208"/>
      <c r="E81" s="209" t="str">
        <f t="shared" si="11"/>
        <v>00109070504610</v>
      </c>
      <c r="G81" s="34">
        <f t="shared" si="7"/>
        <v>0</v>
      </c>
      <c r="H81" s="67"/>
      <c r="I81" s="34">
        <f t="shared" si="8"/>
        <v>10</v>
      </c>
      <c r="J81" s="67"/>
      <c r="K81" s="67"/>
      <c r="L81" s="67"/>
      <c r="M81" s="240"/>
      <c r="O81" s="45"/>
      <c r="Q81" s="45"/>
    </row>
    <row r="82" spans="1:17" ht="13.5" customHeight="1" x14ac:dyDescent="0.25">
      <c r="A82" s="60" t="s">
        <v>924</v>
      </c>
      <c r="B82" s="93" t="s">
        <v>885</v>
      </c>
      <c r="C82" s="208"/>
      <c r="D82" s="208"/>
      <c r="E82" s="209" t="str">
        <f t="shared" si="11"/>
        <v>00109070</v>
      </c>
      <c r="G82" s="34">
        <f t="shared" si="7"/>
        <v>0</v>
      </c>
      <c r="H82" s="67"/>
      <c r="I82" s="34">
        <f t="shared" si="8"/>
        <v>0</v>
      </c>
      <c r="J82" s="67"/>
      <c r="K82" s="67">
        <v>7500</v>
      </c>
      <c r="L82" s="67"/>
      <c r="M82" s="240">
        <v>7500</v>
      </c>
      <c r="O82" s="45">
        <f t="shared" si="9"/>
        <v>7500</v>
      </c>
      <c r="Q82" s="45">
        <f t="shared" si="10"/>
        <v>7500</v>
      </c>
    </row>
    <row r="83" spans="1:17" ht="13.5" customHeight="1" x14ac:dyDescent="0.25">
      <c r="A83" s="60" t="s">
        <v>925</v>
      </c>
      <c r="B83" s="93" t="s">
        <v>885</v>
      </c>
      <c r="C83" s="208"/>
      <c r="D83" s="208"/>
      <c r="E83" s="209" t="str">
        <f t="shared" si="11"/>
        <v>00109070</v>
      </c>
      <c r="G83" s="34">
        <f t="shared" si="7"/>
        <v>0</v>
      </c>
      <c r="H83" s="67"/>
      <c r="I83" s="34">
        <f t="shared" si="8"/>
        <v>0</v>
      </c>
      <c r="J83" s="67"/>
      <c r="K83" s="67">
        <v>5000</v>
      </c>
      <c r="L83" s="67"/>
      <c r="M83" s="240">
        <v>5000</v>
      </c>
      <c r="O83" s="45">
        <f t="shared" si="9"/>
        <v>5000</v>
      </c>
      <c r="Q83" s="45">
        <f t="shared" si="10"/>
        <v>5000</v>
      </c>
    </row>
    <row r="84" spans="1:17" ht="13.5" customHeight="1" x14ac:dyDescent="0.25">
      <c r="A84" s="40" t="s">
        <v>135</v>
      </c>
      <c r="B84" s="93" t="s">
        <v>885</v>
      </c>
      <c r="C84" s="208">
        <v>504620</v>
      </c>
      <c r="D84" s="208"/>
      <c r="E84" s="209" t="str">
        <f t="shared" si="11"/>
        <v>00109070504620</v>
      </c>
      <c r="G84" s="34">
        <f t="shared" si="7"/>
        <v>2087</v>
      </c>
      <c r="H84" s="67"/>
      <c r="I84" s="34">
        <f t="shared" si="8"/>
        <v>0</v>
      </c>
      <c r="J84" s="67"/>
      <c r="K84" s="67">
        <v>2000</v>
      </c>
      <c r="L84" s="67"/>
      <c r="M84" s="240">
        <v>2000</v>
      </c>
      <c r="O84" s="45">
        <f t="shared" si="9"/>
        <v>2000</v>
      </c>
      <c r="Q84" s="45">
        <f t="shared" si="10"/>
        <v>2000</v>
      </c>
    </row>
    <row r="85" spans="1:17" ht="13.5" customHeight="1" x14ac:dyDescent="0.25">
      <c r="A85" s="40" t="s">
        <v>231</v>
      </c>
      <c r="B85" s="93" t="s">
        <v>885</v>
      </c>
      <c r="C85" s="208">
        <v>504680</v>
      </c>
      <c r="D85" s="208"/>
      <c r="E85" s="209" t="str">
        <f t="shared" si="11"/>
        <v>00109070504680</v>
      </c>
      <c r="F85" s="15"/>
      <c r="G85" s="34">
        <f t="shared" si="7"/>
        <v>98922</v>
      </c>
      <c r="H85" s="67"/>
      <c r="I85" s="34">
        <f t="shared" si="8"/>
        <v>78450</v>
      </c>
      <c r="J85" s="67"/>
      <c r="K85" s="45">
        <v>0</v>
      </c>
      <c r="L85" s="67"/>
      <c r="M85" s="234">
        <v>0</v>
      </c>
      <c r="O85" s="45">
        <f t="shared" si="9"/>
        <v>0</v>
      </c>
      <c r="Q85" s="45">
        <f t="shared" si="10"/>
        <v>0</v>
      </c>
    </row>
    <row r="86" spans="1:17" ht="13.5" customHeight="1" x14ac:dyDescent="0.25">
      <c r="A86" s="60" t="s">
        <v>926</v>
      </c>
      <c r="B86" s="93" t="s">
        <v>885</v>
      </c>
      <c r="C86" s="208"/>
      <c r="D86" s="208"/>
      <c r="E86" s="209" t="str">
        <f t="shared" si="11"/>
        <v>00109070</v>
      </c>
      <c r="G86" s="34">
        <f t="shared" si="7"/>
        <v>0</v>
      </c>
      <c r="H86" s="67"/>
      <c r="I86" s="34">
        <f t="shared" si="8"/>
        <v>0</v>
      </c>
      <c r="J86" s="67"/>
      <c r="K86" s="45">
        <v>35000</v>
      </c>
      <c r="L86" s="67"/>
      <c r="M86" s="234">
        <v>35000</v>
      </c>
      <c r="O86" s="45">
        <f t="shared" si="9"/>
        <v>35000</v>
      </c>
      <c r="Q86" s="45">
        <f t="shared" si="10"/>
        <v>35000</v>
      </c>
    </row>
    <row r="87" spans="1:17" ht="13.5" customHeight="1" x14ac:dyDescent="0.25">
      <c r="A87" s="60" t="s">
        <v>927</v>
      </c>
      <c r="B87" s="93" t="s">
        <v>885</v>
      </c>
      <c r="C87" s="208"/>
      <c r="D87" s="208"/>
      <c r="E87" s="209" t="str">
        <f t="shared" si="11"/>
        <v>00109070</v>
      </c>
      <c r="G87" s="34">
        <f t="shared" si="7"/>
        <v>0</v>
      </c>
      <c r="H87" s="67"/>
      <c r="I87" s="34">
        <f t="shared" si="8"/>
        <v>0</v>
      </c>
      <c r="J87" s="67"/>
      <c r="K87" s="45">
        <v>600</v>
      </c>
      <c r="L87" s="67"/>
      <c r="M87" s="234">
        <v>600</v>
      </c>
      <c r="O87" s="45">
        <f t="shared" si="9"/>
        <v>600</v>
      </c>
      <c r="Q87" s="45">
        <f t="shared" si="10"/>
        <v>600</v>
      </c>
    </row>
    <row r="88" spans="1:17" ht="13.5" customHeight="1" x14ac:dyDescent="0.25">
      <c r="A88" s="60" t="s">
        <v>928</v>
      </c>
      <c r="B88" s="93" t="s">
        <v>885</v>
      </c>
      <c r="C88" s="208"/>
      <c r="D88" s="208"/>
      <c r="E88" s="209" t="str">
        <f t="shared" si="11"/>
        <v>00109070</v>
      </c>
      <c r="G88" s="34">
        <f t="shared" si="7"/>
        <v>0</v>
      </c>
      <c r="H88" s="67"/>
      <c r="I88" s="34">
        <f t="shared" si="8"/>
        <v>0</v>
      </c>
      <c r="J88" s="67"/>
      <c r="K88" s="45">
        <v>25000</v>
      </c>
      <c r="L88" s="67"/>
      <c r="M88" s="234">
        <v>25000</v>
      </c>
      <c r="O88" s="45">
        <f t="shared" si="9"/>
        <v>25000</v>
      </c>
      <c r="Q88" s="45">
        <f t="shared" si="10"/>
        <v>25000</v>
      </c>
    </row>
    <row r="89" spans="1:17" ht="13.5" customHeight="1" x14ac:dyDescent="0.25">
      <c r="A89" s="60" t="s">
        <v>929</v>
      </c>
      <c r="B89" s="93" t="s">
        <v>885</v>
      </c>
      <c r="C89" s="208"/>
      <c r="D89" s="208"/>
      <c r="E89" s="209" t="str">
        <f t="shared" si="11"/>
        <v>00109070</v>
      </c>
      <c r="G89" s="34">
        <f t="shared" si="7"/>
        <v>0</v>
      </c>
      <c r="H89" s="67"/>
      <c r="I89" s="34">
        <f t="shared" si="8"/>
        <v>0</v>
      </c>
      <c r="J89" s="67"/>
      <c r="K89" s="45">
        <v>50000</v>
      </c>
      <c r="L89" s="67"/>
      <c r="M89" s="234">
        <v>50000</v>
      </c>
      <c r="O89" s="45">
        <f t="shared" si="9"/>
        <v>50000</v>
      </c>
      <c r="Q89" s="45">
        <f t="shared" si="10"/>
        <v>50000</v>
      </c>
    </row>
    <row r="90" spans="1:17" ht="13.5" customHeight="1" x14ac:dyDescent="0.25">
      <c r="A90" s="60" t="s">
        <v>930</v>
      </c>
      <c r="B90" s="93" t="s">
        <v>885</v>
      </c>
      <c r="C90" s="208"/>
      <c r="D90" s="208"/>
      <c r="E90" s="209" t="str">
        <f t="shared" si="11"/>
        <v>00109070</v>
      </c>
      <c r="G90" s="34">
        <f t="shared" si="7"/>
        <v>0</v>
      </c>
      <c r="H90" s="67"/>
      <c r="I90" s="34">
        <f t="shared" si="8"/>
        <v>0</v>
      </c>
      <c r="J90" s="67"/>
      <c r="K90" s="45">
        <v>6500</v>
      </c>
      <c r="L90" s="67"/>
      <c r="M90" s="234">
        <v>6500</v>
      </c>
      <c r="O90" s="45">
        <f t="shared" si="9"/>
        <v>6500</v>
      </c>
      <c r="Q90" s="45">
        <f t="shared" si="10"/>
        <v>6500</v>
      </c>
    </row>
    <row r="91" spans="1:17" ht="13.5" customHeight="1" x14ac:dyDescent="0.25">
      <c r="A91" s="60" t="s">
        <v>931</v>
      </c>
      <c r="B91" s="93" t="s">
        <v>885</v>
      </c>
      <c r="C91" s="208"/>
      <c r="D91" s="208"/>
      <c r="E91" s="209" t="str">
        <f t="shared" si="11"/>
        <v>00109070</v>
      </c>
      <c r="G91" s="34">
        <f t="shared" si="7"/>
        <v>0</v>
      </c>
      <c r="H91" s="67"/>
      <c r="I91" s="34">
        <f t="shared" si="8"/>
        <v>0</v>
      </c>
      <c r="J91" s="67"/>
      <c r="K91" s="45">
        <v>3000</v>
      </c>
      <c r="L91" s="67"/>
      <c r="M91" s="234">
        <v>3000</v>
      </c>
      <c r="O91" s="45">
        <f t="shared" si="9"/>
        <v>3000</v>
      </c>
      <c r="Q91" s="45">
        <f t="shared" si="10"/>
        <v>3000</v>
      </c>
    </row>
    <row r="92" spans="1:17" ht="13.5" customHeight="1" x14ac:dyDescent="0.25">
      <c r="A92" s="60" t="s">
        <v>932</v>
      </c>
      <c r="B92" s="93" t="s">
        <v>885</v>
      </c>
      <c r="C92" s="208"/>
      <c r="D92" s="208"/>
      <c r="E92" s="209" t="str">
        <f t="shared" si="11"/>
        <v>00109070</v>
      </c>
      <c r="G92" s="34">
        <f t="shared" si="7"/>
        <v>0</v>
      </c>
      <c r="H92" s="67"/>
      <c r="I92" s="34">
        <f t="shared" si="8"/>
        <v>0</v>
      </c>
      <c r="J92" s="67"/>
      <c r="K92" s="45">
        <v>15000</v>
      </c>
      <c r="L92" s="67"/>
      <c r="M92" s="234">
        <v>15000</v>
      </c>
      <c r="O92" s="45">
        <f t="shared" si="9"/>
        <v>15000</v>
      </c>
      <c r="Q92" s="45">
        <f t="shared" si="10"/>
        <v>15000</v>
      </c>
    </row>
    <row r="93" spans="1:17" ht="13.5" customHeight="1" x14ac:dyDescent="0.25">
      <c r="A93" s="60" t="s">
        <v>933</v>
      </c>
      <c r="B93" s="93" t="s">
        <v>885</v>
      </c>
      <c r="C93" s="208"/>
      <c r="D93" s="208"/>
      <c r="E93" s="209" t="str">
        <f t="shared" si="11"/>
        <v>00109070</v>
      </c>
      <c r="G93" s="34">
        <f t="shared" si="7"/>
        <v>0</v>
      </c>
      <c r="H93" s="67"/>
      <c r="I93" s="34">
        <f t="shared" si="8"/>
        <v>0</v>
      </c>
      <c r="J93" s="67"/>
      <c r="K93" s="45">
        <v>9000</v>
      </c>
      <c r="L93" s="67"/>
      <c r="M93" s="234">
        <v>9000</v>
      </c>
      <c r="O93" s="45">
        <f t="shared" si="9"/>
        <v>9000</v>
      </c>
      <c r="Q93" s="45">
        <f t="shared" si="10"/>
        <v>9000</v>
      </c>
    </row>
    <row r="94" spans="1:17" ht="13.5" customHeight="1" x14ac:dyDescent="0.25">
      <c r="A94" s="60" t="s">
        <v>934</v>
      </c>
      <c r="B94" s="93" t="s">
        <v>885</v>
      </c>
      <c r="C94" s="208"/>
      <c r="D94" s="208"/>
      <c r="E94" s="209" t="str">
        <f t="shared" si="11"/>
        <v>00109070</v>
      </c>
      <c r="G94" s="34">
        <f t="shared" si="7"/>
        <v>0</v>
      </c>
      <c r="H94" s="67"/>
      <c r="I94" s="34">
        <f t="shared" si="8"/>
        <v>0</v>
      </c>
      <c r="J94" s="67"/>
      <c r="K94" s="45">
        <v>18650</v>
      </c>
      <c r="L94" s="67"/>
      <c r="M94" s="234">
        <v>18650</v>
      </c>
      <c r="O94" s="45">
        <f t="shared" si="9"/>
        <v>18650</v>
      </c>
      <c r="Q94" s="45">
        <f t="shared" si="10"/>
        <v>18650</v>
      </c>
    </row>
    <row r="95" spans="1:17" ht="13.5" customHeight="1" x14ac:dyDescent="0.25">
      <c r="A95" s="99" t="s">
        <v>351</v>
      </c>
      <c r="B95" s="93" t="s">
        <v>885</v>
      </c>
      <c r="E95" s="209" t="str">
        <f t="shared" si="11"/>
        <v>00109070</v>
      </c>
      <c r="G95" s="34">
        <f t="shared" si="7"/>
        <v>0</v>
      </c>
      <c r="H95" s="67"/>
      <c r="I95" s="34">
        <f t="shared" si="8"/>
        <v>0</v>
      </c>
      <c r="J95" s="67"/>
      <c r="K95" s="45"/>
      <c r="L95" s="67"/>
      <c r="M95" s="234"/>
      <c r="O95" s="45"/>
      <c r="Q95" s="45"/>
    </row>
    <row r="96" spans="1:17" ht="13.5" customHeight="1" x14ac:dyDescent="0.25">
      <c r="A96" s="40" t="s">
        <v>140</v>
      </c>
      <c r="B96" s="93" t="s">
        <v>885</v>
      </c>
      <c r="C96" s="208">
        <v>504683</v>
      </c>
      <c r="D96" s="208"/>
      <c r="E96" s="209" t="str">
        <f t="shared" si="11"/>
        <v>00109070504683</v>
      </c>
      <c r="F96" s="42" t="s">
        <v>19</v>
      </c>
      <c r="G96" s="34">
        <f t="shared" si="7"/>
        <v>59747</v>
      </c>
      <c r="H96" s="42" t="s">
        <v>19</v>
      </c>
      <c r="I96" s="34">
        <f t="shared" si="8"/>
        <v>49931</v>
      </c>
      <c r="J96" s="42" t="s">
        <v>19</v>
      </c>
      <c r="K96" s="45">
        <v>0</v>
      </c>
      <c r="L96" s="42" t="s">
        <v>19</v>
      </c>
      <c r="M96" s="234">
        <v>0</v>
      </c>
      <c r="N96" s="42" t="s">
        <v>19</v>
      </c>
      <c r="O96" s="45">
        <f t="shared" si="9"/>
        <v>0</v>
      </c>
      <c r="P96" s="42" t="s">
        <v>19</v>
      </c>
      <c r="Q96" s="45">
        <f t="shared" si="10"/>
        <v>0</v>
      </c>
    </row>
    <row r="97" spans="1:17" ht="13.5" customHeight="1" x14ac:dyDescent="0.25">
      <c r="A97" s="60" t="s">
        <v>935</v>
      </c>
      <c r="B97" s="93" t="s">
        <v>885</v>
      </c>
      <c r="C97" s="208"/>
      <c r="D97" s="208"/>
      <c r="E97" s="209" t="str">
        <f t="shared" si="11"/>
        <v>00109070</v>
      </c>
      <c r="G97" s="34">
        <f t="shared" si="7"/>
        <v>0</v>
      </c>
      <c r="H97" s="67"/>
      <c r="I97" s="34">
        <f t="shared" si="8"/>
        <v>0</v>
      </c>
      <c r="J97" s="67"/>
      <c r="K97" s="45">
        <v>9500</v>
      </c>
      <c r="L97" s="67"/>
      <c r="M97" s="234">
        <v>9500</v>
      </c>
      <c r="O97" s="45">
        <f t="shared" si="9"/>
        <v>9500</v>
      </c>
      <c r="Q97" s="45">
        <f t="shared" si="10"/>
        <v>9500</v>
      </c>
    </row>
    <row r="98" spans="1:17" ht="13.5" customHeight="1" x14ac:dyDescent="0.25">
      <c r="A98" s="60" t="s">
        <v>936</v>
      </c>
      <c r="B98" s="93" t="s">
        <v>885</v>
      </c>
      <c r="C98" s="208"/>
      <c r="D98" s="208"/>
      <c r="E98" s="209" t="str">
        <f t="shared" si="11"/>
        <v>00109070</v>
      </c>
      <c r="G98" s="34">
        <f t="shared" si="7"/>
        <v>0</v>
      </c>
      <c r="H98" s="67"/>
      <c r="I98" s="34">
        <f t="shared" si="8"/>
        <v>0</v>
      </c>
      <c r="J98" s="67"/>
      <c r="K98" s="45">
        <v>18500</v>
      </c>
      <c r="L98" s="67"/>
      <c r="M98" s="234">
        <v>18500</v>
      </c>
      <c r="O98" s="45">
        <f t="shared" si="9"/>
        <v>18500</v>
      </c>
      <c r="Q98" s="45">
        <f t="shared" si="10"/>
        <v>18500</v>
      </c>
    </row>
    <row r="99" spans="1:17" ht="13.5" customHeight="1" x14ac:dyDescent="0.25">
      <c r="A99" s="60" t="s">
        <v>937</v>
      </c>
      <c r="B99" s="93" t="s">
        <v>885</v>
      </c>
      <c r="C99" s="208"/>
      <c r="D99" s="208"/>
      <c r="E99" s="209" t="str">
        <f t="shared" si="11"/>
        <v>00109070</v>
      </c>
      <c r="G99" s="34">
        <f t="shared" si="7"/>
        <v>0</v>
      </c>
      <c r="H99" s="67"/>
      <c r="I99" s="34">
        <f t="shared" si="8"/>
        <v>0</v>
      </c>
      <c r="J99" s="67"/>
      <c r="K99" s="45">
        <v>65000</v>
      </c>
      <c r="L99" s="67"/>
      <c r="M99" s="234">
        <v>65000</v>
      </c>
      <c r="O99" s="45">
        <f t="shared" si="9"/>
        <v>65000</v>
      </c>
      <c r="Q99" s="45">
        <f t="shared" si="10"/>
        <v>65000</v>
      </c>
    </row>
    <row r="100" spans="1:17" ht="13.5" customHeight="1" x14ac:dyDescent="0.25">
      <c r="A100" s="40" t="s">
        <v>194</v>
      </c>
      <c r="B100" s="93" t="s">
        <v>885</v>
      </c>
      <c r="C100" s="208">
        <v>504710</v>
      </c>
      <c r="D100" s="208"/>
      <c r="E100" s="209" t="str">
        <f t="shared" si="11"/>
        <v>00109070504710</v>
      </c>
      <c r="G100" s="34">
        <f t="shared" si="7"/>
        <v>57</v>
      </c>
      <c r="H100" s="67"/>
      <c r="I100" s="34">
        <f t="shared" si="8"/>
        <v>569</v>
      </c>
      <c r="J100" s="67"/>
      <c r="K100" s="45">
        <v>700</v>
      </c>
      <c r="L100" s="67"/>
      <c r="M100" s="234">
        <v>700</v>
      </c>
      <c r="O100" s="45">
        <f t="shared" si="9"/>
        <v>700</v>
      </c>
      <c r="Q100" s="45">
        <f t="shared" si="10"/>
        <v>700</v>
      </c>
    </row>
    <row r="101" spans="1:17" ht="13.5" customHeight="1" x14ac:dyDescent="0.25">
      <c r="A101" s="40" t="s">
        <v>233</v>
      </c>
      <c r="B101" s="93" t="s">
        <v>885</v>
      </c>
      <c r="C101" s="208">
        <v>504810</v>
      </c>
      <c r="D101" s="208"/>
      <c r="E101" s="209" t="str">
        <f t="shared" si="11"/>
        <v>00109070504810</v>
      </c>
      <c r="G101" s="34">
        <f t="shared" si="7"/>
        <v>0</v>
      </c>
      <c r="H101" s="67"/>
      <c r="I101" s="34">
        <f t="shared" si="8"/>
        <v>2287</v>
      </c>
      <c r="J101" s="67"/>
      <c r="K101" s="45">
        <v>0</v>
      </c>
      <c r="L101" s="67"/>
      <c r="M101" s="234">
        <v>0</v>
      </c>
      <c r="O101" s="45">
        <f t="shared" si="9"/>
        <v>0</v>
      </c>
      <c r="Q101" s="45">
        <f t="shared" si="10"/>
        <v>0</v>
      </c>
    </row>
    <row r="102" spans="1:17" ht="13.5" customHeight="1" x14ac:dyDescent="0.25">
      <c r="A102" s="60" t="s">
        <v>938</v>
      </c>
      <c r="B102" s="93" t="s">
        <v>885</v>
      </c>
      <c r="E102" s="209" t="str">
        <f t="shared" si="11"/>
        <v>00109070</v>
      </c>
      <c r="G102" s="34">
        <f t="shared" si="7"/>
        <v>0</v>
      </c>
      <c r="H102" s="67"/>
      <c r="I102" s="34">
        <f t="shared" si="8"/>
        <v>0</v>
      </c>
      <c r="J102" s="67"/>
      <c r="K102" s="45">
        <v>1000</v>
      </c>
      <c r="L102" s="67"/>
      <c r="M102" s="234">
        <v>1000</v>
      </c>
      <c r="O102" s="45">
        <f t="shared" si="9"/>
        <v>1000</v>
      </c>
      <c r="Q102" s="45">
        <f t="shared" si="10"/>
        <v>1000</v>
      </c>
    </row>
    <row r="103" spans="1:17" ht="15" customHeight="1" x14ac:dyDescent="0.25">
      <c r="A103" s="40" t="s">
        <v>68</v>
      </c>
      <c r="B103" s="93" t="s">
        <v>885</v>
      </c>
      <c r="C103" s="208">
        <v>505101</v>
      </c>
      <c r="D103" s="208"/>
      <c r="E103" s="209" t="str">
        <f t="shared" si="11"/>
        <v>00109070505101</v>
      </c>
      <c r="G103" s="34">
        <f t="shared" si="7"/>
        <v>0</v>
      </c>
      <c r="H103" s="67"/>
      <c r="I103" s="34">
        <f t="shared" si="8"/>
        <v>0</v>
      </c>
      <c r="J103" s="67"/>
      <c r="K103" s="45">
        <v>0</v>
      </c>
      <c r="L103" s="67"/>
      <c r="M103" s="234">
        <v>0</v>
      </c>
      <c r="O103" s="45">
        <f t="shared" si="9"/>
        <v>0</v>
      </c>
      <c r="Q103" s="45">
        <f t="shared" si="10"/>
        <v>0</v>
      </c>
    </row>
    <row r="104" spans="1:17" ht="13.5" customHeight="1" x14ac:dyDescent="0.25">
      <c r="A104" s="40" t="s">
        <v>69</v>
      </c>
      <c r="B104" s="93" t="s">
        <v>885</v>
      </c>
      <c r="C104" s="208">
        <v>505201</v>
      </c>
      <c r="D104" s="208"/>
      <c r="E104" s="209" t="str">
        <f t="shared" si="11"/>
        <v>00109070505201</v>
      </c>
      <c r="G104" s="34">
        <f t="shared" si="7"/>
        <v>13382</v>
      </c>
      <c r="H104" s="67"/>
      <c r="I104" s="34">
        <f t="shared" si="8"/>
        <v>19184</v>
      </c>
      <c r="J104" s="67"/>
      <c r="K104" s="45">
        <v>1800</v>
      </c>
      <c r="L104" s="67"/>
      <c r="M104" s="234">
        <v>1800</v>
      </c>
      <c r="N104" s="15" t="s">
        <v>19</v>
      </c>
      <c r="O104" s="45">
        <f t="shared" si="9"/>
        <v>1800</v>
      </c>
      <c r="P104" s="15" t="s">
        <v>19</v>
      </c>
      <c r="Q104" s="45">
        <f t="shared" si="10"/>
        <v>1800</v>
      </c>
    </row>
    <row r="105" spans="1:17" ht="13.5" customHeight="1" x14ac:dyDescent="0.25">
      <c r="A105" s="60" t="s">
        <v>939</v>
      </c>
      <c r="B105" s="93" t="s">
        <v>885</v>
      </c>
      <c r="C105" s="208"/>
      <c r="D105" s="208"/>
      <c r="E105" s="209" t="str">
        <f t="shared" si="11"/>
        <v>00109070</v>
      </c>
      <c r="G105" s="34">
        <f t="shared" si="7"/>
        <v>0</v>
      </c>
      <c r="H105" s="67"/>
      <c r="I105" s="34">
        <f t="shared" si="8"/>
        <v>0</v>
      </c>
      <c r="J105" s="67"/>
      <c r="K105" s="45">
        <v>3600</v>
      </c>
      <c r="L105" s="67"/>
      <c r="M105" s="234">
        <v>3600</v>
      </c>
      <c r="O105" s="45">
        <f t="shared" si="9"/>
        <v>3600</v>
      </c>
      <c r="Q105" s="45">
        <f t="shared" si="10"/>
        <v>3600</v>
      </c>
    </row>
    <row r="106" spans="1:17" ht="13.5" customHeight="1" x14ac:dyDescent="0.25">
      <c r="A106" s="60" t="s">
        <v>940</v>
      </c>
      <c r="B106" s="93" t="s">
        <v>885</v>
      </c>
      <c r="C106" s="208"/>
      <c r="D106" s="208"/>
      <c r="E106" s="209" t="str">
        <f t="shared" si="11"/>
        <v>00109070</v>
      </c>
      <c r="G106" s="34">
        <f t="shared" si="7"/>
        <v>0</v>
      </c>
      <c r="H106" s="67"/>
      <c r="I106" s="34">
        <f t="shared" si="8"/>
        <v>0</v>
      </c>
      <c r="J106" s="67"/>
      <c r="K106" s="45">
        <v>9000</v>
      </c>
      <c r="L106" s="67"/>
      <c r="M106" s="234">
        <v>9000</v>
      </c>
      <c r="O106" s="45">
        <f t="shared" si="9"/>
        <v>9000</v>
      </c>
      <c r="Q106" s="45">
        <f t="shared" si="10"/>
        <v>9000</v>
      </c>
    </row>
    <row r="107" spans="1:17" ht="13.5" customHeight="1" x14ac:dyDescent="0.25">
      <c r="A107" s="60" t="s">
        <v>941</v>
      </c>
      <c r="B107" s="93" t="s">
        <v>885</v>
      </c>
      <c r="C107" s="208"/>
      <c r="D107" s="208"/>
      <c r="E107" s="209" t="str">
        <f t="shared" si="11"/>
        <v>00109070</v>
      </c>
      <c r="G107" s="34">
        <f t="shared" si="7"/>
        <v>0</v>
      </c>
      <c r="H107" s="67"/>
      <c r="I107" s="34">
        <f t="shared" si="8"/>
        <v>0</v>
      </c>
      <c r="J107" s="67"/>
      <c r="K107" s="45">
        <v>2400</v>
      </c>
      <c r="L107" s="67"/>
      <c r="M107" s="234">
        <v>2400</v>
      </c>
      <c r="O107" s="45">
        <f t="shared" si="9"/>
        <v>2400</v>
      </c>
      <c r="Q107" s="45">
        <f t="shared" si="10"/>
        <v>2400</v>
      </c>
    </row>
    <row r="108" spans="1:17" ht="13.5" customHeight="1" x14ac:dyDescent="0.25">
      <c r="A108" s="40" t="s">
        <v>537</v>
      </c>
      <c r="B108" s="93" t="s">
        <v>885</v>
      </c>
      <c r="C108" s="208">
        <v>505210</v>
      </c>
      <c r="D108" s="208"/>
      <c r="E108" s="209" t="str">
        <f t="shared" si="11"/>
        <v>00109070505210</v>
      </c>
      <c r="G108" s="34">
        <f t="shared" si="7"/>
        <v>63395</v>
      </c>
      <c r="H108" s="67"/>
      <c r="I108" s="34">
        <f t="shared" si="8"/>
        <v>56499</v>
      </c>
      <c r="J108" s="67"/>
      <c r="K108" s="45">
        <v>60000</v>
      </c>
      <c r="L108" s="67"/>
      <c r="M108" s="234">
        <v>60000</v>
      </c>
      <c r="O108" s="45">
        <f t="shared" si="9"/>
        <v>60000</v>
      </c>
      <c r="Q108" s="45">
        <f t="shared" si="10"/>
        <v>60000</v>
      </c>
    </row>
    <row r="109" spans="1:17" ht="13.5" customHeight="1" x14ac:dyDescent="0.25">
      <c r="A109" s="40" t="s">
        <v>71</v>
      </c>
      <c r="B109" s="93" t="s">
        <v>885</v>
      </c>
      <c r="C109" s="208">
        <v>505401</v>
      </c>
      <c r="D109" s="208"/>
      <c r="E109" s="209" t="str">
        <f t="shared" si="11"/>
        <v>00109070505401</v>
      </c>
      <c r="G109" s="34">
        <f t="shared" si="7"/>
        <v>950</v>
      </c>
      <c r="H109" s="67"/>
      <c r="I109" s="34">
        <f t="shared" si="8"/>
        <v>1212</v>
      </c>
      <c r="J109" s="67"/>
      <c r="K109" s="45">
        <v>1250</v>
      </c>
      <c r="L109" s="67"/>
      <c r="M109" s="234">
        <v>1250</v>
      </c>
      <c r="O109" s="45">
        <f t="shared" si="9"/>
        <v>1250</v>
      </c>
      <c r="Q109" s="45">
        <f t="shared" si="10"/>
        <v>1250</v>
      </c>
    </row>
    <row r="110" spans="1:17" ht="13.5" customHeight="1" x14ac:dyDescent="0.25">
      <c r="A110" s="60" t="s">
        <v>942</v>
      </c>
      <c r="B110" s="93" t="s">
        <v>885</v>
      </c>
      <c r="C110" s="208"/>
      <c r="D110" s="208"/>
      <c r="E110" s="209" t="str">
        <f t="shared" si="11"/>
        <v>00109070</v>
      </c>
      <c r="G110" s="34">
        <f t="shared" si="7"/>
        <v>0</v>
      </c>
      <c r="H110" s="67"/>
      <c r="I110" s="34">
        <f t="shared" si="8"/>
        <v>0</v>
      </c>
      <c r="J110" s="67"/>
      <c r="K110" s="45">
        <v>2700</v>
      </c>
      <c r="L110" s="67"/>
      <c r="M110" s="234">
        <v>2700</v>
      </c>
      <c r="O110" s="45">
        <f t="shared" si="9"/>
        <v>2700</v>
      </c>
      <c r="Q110" s="45">
        <f t="shared" si="10"/>
        <v>2700</v>
      </c>
    </row>
    <row r="111" spans="1:17" ht="13.5" customHeight="1" x14ac:dyDescent="0.25">
      <c r="A111" s="40" t="s">
        <v>368</v>
      </c>
      <c r="B111" s="93" t="s">
        <v>885</v>
      </c>
      <c r="C111" s="208">
        <v>505501</v>
      </c>
      <c r="D111" s="208"/>
      <c r="E111" s="209" t="str">
        <f t="shared" si="11"/>
        <v>00109070505501</v>
      </c>
      <c r="G111" s="34">
        <f t="shared" si="7"/>
        <v>11</v>
      </c>
      <c r="H111" s="67"/>
      <c r="I111" s="34">
        <f t="shared" si="8"/>
        <v>0</v>
      </c>
      <c r="J111" s="67"/>
      <c r="K111" s="45">
        <v>0</v>
      </c>
      <c r="L111" s="67"/>
      <c r="M111" s="234">
        <v>0</v>
      </c>
      <c r="O111" s="45">
        <f t="shared" si="9"/>
        <v>0</v>
      </c>
      <c r="Q111" s="45">
        <f t="shared" si="10"/>
        <v>0</v>
      </c>
    </row>
    <row r="112" spans="1:17" ht="13.5" customHeight="1" x14ac:dyDescent="0.25">
      <c r="A112" s="40" t="s">
        <v>143</v>
      </c>
      <c r="B112" s="93" t="s">
        <v>885</v>
      </c>
      <c r="C112" s="69">
        <v>505505</v>
      </c>
      <c r="D112" s="69"/>
      <c r="E112" s="209" t="str">
        <f t="shared" si="11"/>
        <v>00109070505505</v>
      </c>
      <c r="G112" s="34">
        <f t="shared" si="7"/>
        <v>9813</v>
      </c>
      <c r="I112" s="34">
        <f t="shared" si="8"/>
        <v>10770</v>
      </c>
      <c r="K112" s="45">
        <v>12000</v>
      </c>
      <c r="M112" s="234">
        <v>12000</v>
      </c>
      <c r="O112" s="45">
        <f t="shared" si="9"/>
        <v>12000</v>
      </c>
      <c r="Q112" s="45">
        <f t="shared" si="10"/>
        <v>12000</v>
      </c>
    </row>
    <row r="113" spans="1:17" ht="13.5" customHeight="1" x14ac:dyDescent="0.25">
      <c r="A113" s="40" t="s">
        <v>144</v>
      </c>
      <c r="B113" s="93" t="s">
        <v>885</v>
      </c>
      <c r="C113" s="69">
        <v>505532</v>
      </c>
      <c r="D113" s="69"/>
      <c r="E113" s="209" t="str">
        <f t="shared" si="11"/>
        <v>00109070505532</v>
      </c>
      <c r="G113" s="34">
        <f t="shared" si="7"/>
        <v>1698</v>
      </c>
      <c r="I113" s="34">
        <f t="shared" si="8"/>
        <v>1763</v>
      </c>
      <c r="K113" s="45">
        <v>3500</v>
      </c>
      <c r="M113" s="234">
        <v>3500</v>
      </c>
      <c r="O113" s="45">
        <f t="shared" si="9"/>
        <v>3500</v>
      </c>
      <c r="Q113" s="45">
        <f t="shared" si="10"/>
        <v>3500</v>
      </c>
    </row>
    <row r="114" spans="1:17" ht="13.5" customHeight="1" x14ac:dyDescent="0.25">
      <c r="A114" s="40" t="s">
        <v>145</v>
      </c>
      <c r="B114" s="93" t="s">
        <v>885</v>
      </c>
      <c r="C114" s="69">
        <v>505540</v>
      </c>
      <c r="D114" s="69"/>
      <c r="E114" s="209" t="str">
        <f t="shared" si="11"/>
        <v>00109070505540</v>
      </c>
      <c r="G114" s="34">
        <f t="shared" si="7"/>
        <v>361</v>
      </c>
      <c r="I114" s="34">
        <f t="shared" si="8"/>
        <v>161</v>
      </c>
      <c r="K114" s="45">
        <v>1125</v>
      </c>
      <c r="M114" s="234">
        <v>1125</v>
      </c>
      <c r="O114" s="45">
        <f t="shared" si="9"/>
        <v>1125</v>
      </c>
      <c r="Q114" s="45">
        <f t="shared" si="10"/>
        <v>1125</v>
      </c>
    </row>
    <row r="115" spans="1:17" ht="13.5" customHeight="1" x14ac:dyDescent="0.25">
      <c r="A115" s="40" t="s">
        <v>72</v>
      </c>
      <c r="B115" s="93" t="s">
        <v>885</v>
      </c>
      <c r="C115" s="41">
        <v>505550</v>
      </c>
      <c r="D115" s="41"/>
      <c r="E115" s="209" t="str">
        <f t="shared" si="11"/>
        <v>00109070505550</v>
      </c>
      <c r="F115" s="67"/>
      <c r="G115" s="34">
        <f t="shared" si="7"/>
        <v>2042</v>
      </c>
      <c r="I115" s="34">
        <f t="shared" si="8"/>
        <v>936</v>
      </c>
      <c r="K115" s="67">
        <v>2700</v>
      </c>
      <c r="M115" s="240">
        <v>2700</v>
      </c>
      <c r="N115" s="113"/>
      <c r="O115" s="45">
        <f t="shared" si="9"/>
        <v>2700</v>
      </c>
      <c r="Q115" s="45">
        <f t="shared" si="10"/>
        <v>2700</v>
      </c>
    </row>
    <row r="116" spans="1:17" ht="13.5" customHeight="1" x14ac:dyDescent="0.25">
      <c r="A116" s="40" t="s">
        <v>369</v>
      </c>
      <c r="B116" s="93" t="s">
        <v>885</v>
      </c>
      <c r="C116" s="208">
        <v>505701</v>
      </c>
      <c r="D116" s="208"/>
      <c r="E116" s="209" t="str">
        <f t="shared" si="11"/>
        <v>00109070505701</v>
      </c>
      <c r="G116" s="34">
        <f t="shared" ref="G116:G119" si="12">ROUND(IFERROR(VLOOKUP(_xlfn.CONCAT($B116,$C116,$D116),$A$129:$C$9996,3,FALSE),0),0)</f>
        <v>4913</v>
      </c>
      <c r="H116" s="67"/>
      <c r="I116" s="34">
        <f t="shared" ref="I116:I119" si="13">ROUND(IFERROR(VLOOKUP(_xlfn.CONCAT($B116,$C116,$D116),$A$129:$C$9996,2,FALSE),0),0)</f>
        <v>6630</v>
      </c>
      <c r="J116" s="67"/>
      <c r="K116" s="45">
        <v>5000</v>
      </c>
      <c r="L116" s="67"/>
      <c r="M116" s="234">
        <v>5000</v>
      </c>
      <c r="O116" s="45">
        <f t="shared" si="9"/>
        <v>5000</v>
      </c>
      <c r="Q116" s="45">
        <f t="shared" si="10"/>
        <v>5000</v>
      </c>
    </row>
    <row r="117" spans="1:17" ht="13.5" customHeight="1" x14ac:dyDescent="0.25">
      <c r="A117" s="40" t="s">
        <v>73</v>
      </c>
      <c r="B117" s="93" t="s">
        <v>885</v>
      </c>
      <c r="C117" s="208">
        <v>505710</v>
      </c>
      <c r="D117" s="208"/>
      <c r="E117" s="209" t="str">
        <f t="shared" si="11"/>
        <v>00109070505710</v>
      </c>
      <c r="G117" s="34">
        <f>ROUND(IFERROR(VLOOKUP(_xlfn.CONCAT($B117,$C117,$D117),$A$129:$C$9996,3,FALSE),0),0)-3</f>
        <v>1736</v>
      </c>
      <c r="H117" s="67"/>
      <c r="I117" s="34">
        <f>ROUND(IFERROR(VLOOKUP(_xlfn.CONCAT($B117,$C117,$D117),$A$129:$C$9996,2,FALSE),0),0)-1</f>
        <v>782</v>
      </c>
      <c r="J117" s="67"/>
      <c r="K117" s="45">
        <v>0</v>
      </c>
      <c r="L117" s="67"/>
      <c r="M117" s="234">
        <v>0</v>
      </c>
      <c r="O117" s="45">
        <f t="shared" ref="O117:O126" si="14">M117</f>
        <v>0</v>
      </c>
      <c r="Q117" s="45">
        <f t="shared" si="10"/>
        <v>0</v>
      </c>
    </row>
    <row r="118" spans="1:17" ht="13.5" customHeight="1" x14ac:dyDescent="0.25">
      <c r="A118" s="60" t="s">
        <v>943</v>
      </c>
      <c r="B118" s="93" t="s">
        <v>885</v>
      </c>
      <c r="C118" s="208"/>
      <c r="D118" s="208"/>
      <c r="E118" s="209" t="str">
        <f t="shared" si="11"/>
        <v>00109070</v>
      </c>
      <c r="G118" s="34">
        <f t="shared" si="12"/>
        <v>0</v>
      </c>
      <c r="H118" s="67"/>
      <c r="I118" s="34">
        <f t="shared" si="13"/>
        <v>0</v>
      </c>
      <c r="J118" s="67"/>
      <c r="K118" s="45">
        <v>2700</v>
      </c>
      <c r="L118" s="67"/>
      <c r="M118" s="234">
        <v>2700</v>
      </c>
      <c r="O118" s="45">
        <f t="shared" si="14"/>
        <v>2700</v>
      </c>
      <c r="Q118" s="45">
        <f t="shared" ref="Q118:Q125" si="15">O118</f>
        <v>2700</v>
      </c>
    </row>
    <row r="119" spans="1:17" ht="15" customHeight="1" x14ac:dyDescent="0.25">
      <c r="A119" s="40" t="s">
        <v>74</v>
      </c>
      <c r="B119" s="93" t="s">
        <v>885</v>
      </c>
      <c r="C119" s="15">
        <v>505801</v>
      </c>
      <c r="E119" s="209" t="str">
        <f t="shared" si="11"/>
        <v>00109070505801</v>
      </c>
      <c r="G119" s="34">
        <f t="shared" si="12"/>
        <v>110</v>
      </c>
      <c r="H119" s="67"/>
      <c r="I119" s="34">
        <f t="shared" si="13"/>
        <v>0</v>
      </c>
      <c r="J119" s="67"/>
      <c r="K119" s="45">
        <v>0</v>
      </c>
      <c r="L119" s="67"/>
      <c r="M119" s="234">
        <v>0</v>
      </c>
      <c r="O119" s="45">
        <f t="shared" si="14"/>
        <v>0</v>
      </c>
      <c r="Q119" s="45">
        <f t="shared" si="15"/>
        <v>0</v>
      </c>
    </row>
    <row r="120" spans="1:17" ht="15" customHeight="1" x14ac:dyDescent="0.25">
      <c r="A120" s="40"/>
      <c r="B120" s="70"/>
      <c r="G120" s="45"/>
      <c r="H120" s="67"/>
      <c r="I120" s="45"/>
      <c r="J120" s="67"/>
      <c r="K120" s="45"/>
      <c r="L120" s="67"/>
      <c r="M120" s="45"/>
      <c r="O120" s="45"/>
      <c r="Q120" s="45"/>
    </row>
    <row r="121" spans="1:17" ht="24" customHeight="1" x14ac:dyDescent="0.25">
      <c r="A121" s="49" t="s">
        <v>75</v>
      </c>
      <c r="B121" s="50"/>
      <c r="F121" s="42" t="s">
        <v>19</v>
      </c>
      <c r="G121" s="98">
        <f>SUM(G52:G120)</f>
        <v>1731939</v>
      </c>
      <c r="H121" s="42" t="s">
        <v>19</v>
      </c>
      <c r="I121" s="98">
        <f>SUM(I52:I120)</f>
        <v>1775128</v>
      </c>
      <c r="J121" s="42" t="s">
        <v>19</v>
      </c>
      <c r="K121" s="98">
        <f>SUM(K52:K120)</f>
        <v>2088575</v>
      </c>
      <c r="L121" s="42" t="s">
        <v>19</v>
      </c>
      <c r="M121" s="98">
        <f>SUM(M52:M120)</f>
        <v>2088575</v>
      </c>
      <c r="N121" s="42" t="s">
        <v>19</v>
      </c>
      <c r="O121" s="98">
        <f>SUM(O52:O120)</f>
        <v>2088575</v>
      </c>
      <c r="P121" s="42" t="s">
        <v>19</v>
      </c>
      <c r="Q121" s="98">
        <f>SUM(Q52:Q120)</f>
        <v>2088575</v>
      </c>
    </row>
    <row r="122" spans="1:17" ht="24" customHeight="1" thickBot="1" x14ac:dyDescent="0.3">
      <c r="A122" s="210" t="s">
        <v>76</v>
      </c>
      <c r="F122" s="42" t="s">
        <v>19</v>
      </c>
      <c r="G122" s="109">
        <f>+G27+G121</f>
        <v>2941165</v>
      </c>
      <c r="H122" s="42" t="s">
        <v>19</v>
      </c>
      <c r="I122" s="109">
        <f>+I27+I121</f>
        <v>3142329</v>
      </c>
      <c r="J122" s="42" t="s">
        <v>19</v>
      </c>
      <c r="K122" s="109">
        <f>+K27+K121</f>
        <v>3466020</v>
      </c>
      <c r="L122" s="42" t="s">
        <v>19</v>
      </c>
      <c r="M122" s="109">
        <f>+M27+M121</f>
        <v>3466020</v>
      </c>
      <c r="N122" s="141" t="s">
        <v>320</v>
      </c>
      <c r="O122" s="109">
        <f>+O27+O121</f>
        <v>3466020</v>
      </c>
      <c r="P122" s="141" t="s">
        <v>19</v>
      </c>
      <c r="Q122" s="109">
        <f>+Q27+Q121</f>
        <v>3466020</v>
      </c>
    </row>
    <row r="123" spans="1:17" ht="12" customHeight="1" thickTop="1" x14ac:dyDescent="0.25">
      <c r="A123" s="193"/>
      <c r="I123" s="15"/>
    </row>
    <row r="124" spans="1:17" ht="12" hidden="1" customHeight="1" x14ac:dyDescent="0.25">
      <c r="A124" s="28" t="s">
        <v>77</v>
      </c>
      <c r="G124" s="76">
        <v>2941165</v>
      </c>
      <c r="I124" s="76">
        <v>3142329</v>
      </c>
      <c r="J124" s="211"/>
      <c r="K124" s="193"/>
      <c r="L124" s="211"/>
      <c r="M124" s="193"/>
      <c r="N124" s="193"/>
      <c r="O124" s="193"/>
      <c r="Q124" s="193"/>
    </row>
    <row r="125" spans="1:17" ht="12" hidden="1" customHeight="1" x14ac:dyDescent="0.25">
      <c r="A125" s="28" t="s">
        <v>78</v>
      </c>
      <c r="G125" s="44">
        <f>G122-G124</f>
        <v>0</v>
      </c>
      <c r="H125" s="43"/>
      <c r="I125" s="44">
        <f>I122-I124</f>
        <v>0</v>
      </c>
    </row>
    <row r="126" spans="1:17" ht="12" hidden="1" customHeight="1" x14ac:dyDescent="0.25">
      <c r="A126" s="193"/>
      <c r="G126" s="45"/>
      <c r="I126" s="45"/>
      <c r="K126" s="45"/>
      <c r="M126" s="45"/>
      <c r="O126" s="45"/>
      <c r="Q126" s="45"/>
    </row>
    <row r="127" spans="1:17" ht="12" hidden="1" customHeight="1" x14ac:dyDescent="0.25">
      <c r="A127" s="193"/>
      <c r="G127" s="45"/>
      <c r="I127" s="45"/>
      <c r="K127" s="45"/>
      <c r="M127" s="45"/>
      <c r="O127" s="45"/>
      <c r="Q127" s="45"/>
    </row>
    <row r="128" spans="1:17" ht="12" hidden="1" customHeight="1" x14ac:dyDescent="0.25">
      <c r="A128" s="193"/>
      <c r="B128" s="29" t="s">
        <v>79</v>
      </c>
      <c r="C128" s="15" t="s">
        <v>80</v>
      </c>
      <c r="G128" s="77" t="s">
        <v>81</v>
      </c>
      <c r="I128" s="45"/>
      <c r="K128" s="45"/>
      <c r="M128" s="45"/>
      <c r="O128" s="45"/>
      <c r="Q128" s="45"/>
    </row>
    <row r="129" spans="1:17" ht="12" hidden="1" customHeight="1" x14ac:dyDescent="0.25">
      <c r="A129" s="193" t="s">
        <v>944</v>
      </c>
      <c r="B129" s="29">
        <v>873070.5</v>
      </c>
      <c r="C129" s="15">
        <v>793360.16</v>
      </c>
      <c r="G129" s="15" t="str">
        <f>VLOOKUP(A129,E:E,1,FALSE)</f>
        <v>00109070501201</v>
      </c>
      <c r="J129" s="43"/>
      <c r="K129" s="44"/>
      <c r="L129" s="43"/>
      <c r="M129" s="44"/>
      <c r="O129" s="44"/>
      <c r="Q129" s="44"/>
    </row>
    <row r="130" spans="1:17" ht="12" hidden="1" customHeight="1" x14ac:dyDescent="0.25">
      <c r="A130" s="15" t="s">
        <v>945</v>
      </c>
      <c r="B130" s="29">
        <v>89064.76</v>
      </c>
      <c r="C130" s="15">
        <v>89789.28</v>
      </c>
      <c r="G130" s="15" t="str">
        <f t="shared" ref="G130:G193" si="16">VLOOKUP(A130,E:E,1,FALSE)</f>
        <v>00109070501210</v>
      </c>
      <c r="I130" s="15"/>
    </row>
    <row r="131" spans="1:17" ht="12" hidden="1" customHeight="1" x14ac:dyDescent="0.25">
      <c r="A131" s="15" t="s">
        <v>946</v>
      </c>
      <c r="B131" s="29">
        <v>0</v>
      </c>
      <c r="C131" s="15">
        <v>0</v>
      </c>
      <c r="G131" s="15" t="str">
        <f t="shared" si="16"/>
        <v>00109070501290</v>
      </c>
      <c r="I131" s="15"/>
    </row>
    <row r="132" spans="1:17" ht="12" hidden="1" customHeight="1" x14ac:dyDescent="0.25">
      <c r="A132" s="15" t="s">
        <v>947</v>
      </c>
      <c r="B132" s="29">
        <v>32559.83</v>
      </c>
      <c r="C132" s="15">
        <v>7610.19</v>
      </c>
      <c r="G132" s="15" t="str">
        <f t="shared" si="16"/>
        <v>00109070501300</v>
      </c>
      <c r="I132" s="15"/>
    </row>
    <row r="133" spans="1:17" ht="12" hidden="1" customHeight="1" x14ac:dyDescent="0.25">
      <c r="A133" s="15" t="s">
        <v>948</v>
      </c>
      <c r="B133" s="29">
        <v>33734.01</v>
      </c>
      <c r="C133" s="15">
        <v>17224.55</v>
      </c>
      <c r="G133" s="15" t="str">
        <f t="shared" si="16"/>
        <v>00109070501400</v>
      </c>
    </row>
    <row r="134" spans="1:17" ht="12" hidden="1" customHeight="1" x14ac:dyDescent="0.25">
      <c r="A134" s="15" t="s">
        <v>949</v>
      </c>
      <c r="B134" s="29">
        <v>5463.69</v>
      </c>
      <c r="C134" s="15">
        <v>5321.8</v>
      </c>
      <c r="G134" s="15" t="str">
        <f t="shared" si="16"/>
        <v>00109070501401</v>
      </c>
    </row>
    <row r="135" spans="1:17" ht="12" hidden="1" customHeight="1" x14ac:dyDescent="0.25">
      <c r="A135" s="15" t="s">
        <v>950</v>
      </c>
      <c r="B135" s="29">
        <v>652.36</v>
      </c>
      <c r="C135" s="15">
        <v>2302.5</v>
      </c>
      <c r="G135" s="15" t="str">
        <f t="shared" si="16"/>
        <v>00109070501600</v>
      </c>
    </row>
    <row r="136" spans="1:17" ht="12" hidden="1" customHeight="1" x14ac:dyDescent="0.25">
      <c r="A136" s="15" t="s">
        <v>951</v>
      </c>
      <c r="B136" s="29">
        <v>0</v>
      </c>
      <c r="C136" s="15">
        <v>0</v>
      </c>
      <c r="G136" s="15" t="str">
        <f t="shared" si="16"/>
        <v>00109070501701</v>
      </c>
    </row>
    <row r="137" spans="1:17" ht="12" hidden="1" customHeight="1" x14ac:dyDescent="0.25">
      <c r="A137" s="15" t="s">
        <v>952</v>
      </c>
      <c r="B137" s="29">
        <v>10247.969999999999</v>
      </c>
      <c r="C137" s="15">
        <v>9030.1</v>
      </c>
      <c r="G137" s="15" t="str">
        <f t="shared" si="16"/>
        <v>00109070501702</v>
      </c>
    </row>
    <row r="138" spans="1:17" ht="12" hidden="1" customHeight="1" x14ac:dyDescent="0.25">
      <c r="A138" s="15" t="s">
        <v>953</v>
      </c>
      <c r="B138" s="29">
        <v>0</v>
      </c>
      <c r="C138" s="15">
        <v>0</v>
      </c>
      <c r="G138" s="15" t="str">
        <f t="shared" si="16"/>
        <v>00109070501800</v>
      </c>
    </row>
    <row r="139" spans="1:17" ht="12" hidden="1" customHeight="1" x14ac:dyDescent="0.25">
      <c r="A139" s="15" t="s">
        <v>954</v>
      </c>
      <c r="B139" s="29">
        <v>0</v>
      </c>
      <c r="C139" s="15">
        <v>0</v>
      </c>
      <c r="G139" s="15" t="str">
        <f t="shared" si="16"/>
        <v>001090705019006.01P</v>
      </c>
    </row>
    <row r="140" spans="1:17" ht="12" hidden="1" customHeight="1" x14ac:dyDescent="0.25">
      <c r="A140" s="99" t="s">
        <v>955</v>
      </c>
      <c r="B140" s="29">
        <v>78044.38</v>
      </c>
      <c r="C140" s="15">
        <v>68932.789999999994</v>
      </c>
      <c r="G140" s="15" t="str">
        <f t="shared" si="16"/>
        <v>00109070502100</v>
      </c>
    </row>
    <row r="141" spans="1:17" ht="12" hidden="1" customHeight="1" x14ac:dyDescent="0.25">
      <c r="A141" s="15" t="s">
        <v>956</v>
      </c>
      <c r="B141" s="29">
        <v>89086.39</v>
      </c>
      <c r="C141" s="15">
        <v>81515.69</v>
      </c>
      <c r="G141" s="15" t="str">
        <f t="shared" si="16"/>
        <v>00109070502200</v>
      </c>
    </row>
    <row r="142" spans="1:17" ht="12" hidden="1" customHeight="1" x14ac:dyDescent="0.25">
      <c r="A142" s="15" t="s">
        <v>957</v>
      </c>
      <c r="B142" s="29">
        <v>153488.07</v>
      </c>
      <c r="C142" s="15">
        <v>132562.51</v>
      </c>
      <c r="G142" s="15" t="str">
        <f t="shared" si="16"/>
        <v>00109070502300</v>
      </c>
    </row>
    <row r="143" spans="1:17" ht="12" hidden="1" customHeight="1" x14ac:dyDescent="0.25">
      <c r="A143" s="15" t="s">
        <v>958</v>
      </c>
      <c r="B143" s="29">
        <v>1789.47</v>
      </c>
      <c r="C143" s="15">
        <v>1574.63</v>
      </c>
      <c r="G143" s="15" t="str">
        <f t="shared" si="16"/>
        <v>00109070502400</v>
      </c>
    </row>
    <row r="144" spans="1:17" ht="12" hidden="1" customHeight="1" x14ac:dyDescent="0.25">
      <c r="A144" s="15" t="s">
        <v>959</v>
      </c>
      <c r="B144" s="29">
        <v>0</v>
      </c>
      <c r="C144" s="15">
        <v>0</v>
      </c>
      <c r="G144" s="15" t="str">
        <f t="shared" si="16"/>
        <v>00109070503140</v>
      </c>
    </row>
    <row r="145" spans="1:7" ht="12" hidden="1" customHeight="1" x14ac:dyDescent="0.25">
      <c r="A145" s="15" t="s">
        <v>960</v>
      </c>
      <c r="B145" s="29">
        <v>0</v>
      </c>
      <c r="C145" s="15">
        <v>0</v>
      </c>
      <c r="G145" s="15" t="e">
        <f t="shared" si="16"/>
        <v>#N/A</v>
      </c>
    </row>
    <row r="146" spans="1:7" ht="12" hidden="1" customHeight="1" x14ac:dyDescent="0.25">
      <c r="A146" s="15" t="s">
        <v>961</v>
      </c>
      <c r="B146" s="29">
        <v>0</v>
      </c>
      <c r="C146" s="15">
        <v>0</v>
      </c>
      <c r="G146" s="15" t="str">
        <f t="shared" si="16"/>
        <v>00109070503403</v>
      </c>
    </row>
    <row r="147" spans="1:7" ht="12" hidden="1" customHeight="1" x14ac:dyDescent="0.25">
      <c r="A147" s="15" t="s">
        <v>962</v>
      </c>
      <c r="B147" s="29">
        <v>15587.09</v>
      </c>
      <c r="C147" s="15">
        <v>7291.76</v>
      </c>
      <c r="G147" s="15" t="str">
        <f t="shared" si="16"/>
        <v>00109070503410</v>
      </c>
    </row>
    <row r="148" spans="1:7" ht="12" hidden="1" customHeight="1" x14ac:dyDescent="0.25">
      <c r="A148" s="15" t="s">
        <v>963</v>
      </c>
      <c r="B148" s="29">
        <v>9040.8799999999992</v>
      </c>
      <c r="C148" s="15">
        <v>6738.74</v>
      </c>
      <c r="G148" s="15" t="str">
        <f t="shared" si="16"/>
        <v>00109070503440</v>
      </c>
    </row>
    <row r="149" spans="1:7" ht="12" hidden="1" customHeight="1" x14ac:dyDescent="0.25">
      <c r="A149" s="15" t="s">
        <v>964</v>
      </c>
      <c r="B149" s="29">
        <v>2230.25</v>
      </c>
      <c r="C149" s="15">
        <v>2200</v>
      </c>
      <c r="G149" s="15" t="str">
        <f t="shared" si="16"/>
        <v>00109070503450</v>
      </c>
    </row>
    <row r="150" spans="1:7" ht="12" hidden="1" customHeight="1" x14ac:dyDescent="0.25">
      <c r="A150" s="15" t="s">
        <v>965</v>
      </c>
      <c r="B150" s="29">
        <v>0</v>
      </c>
      <c r="C150" s="15">
        <v>0</v>
      </c>
      <c r="G150" s="15" t="str">
        <f t="shared" si="16"/>
        <v>00109070503460</v>
      </c>
    </row>
    <row r="151" spans="1:7" ht="12" hidden="1" customHeight="1" x14ac:dyDescent="0.25">
      <c r="A151" s="15" t="s">
        <v>966</v>
      </c>
      <c r="B151" s="29">
        <v>0</v>
      </c>
      <c r="C151" s="15">
        <v>0</v>
      </c>
      <c r="G151" s="15" t="e">
        <f t="shared" si="16"/>
        <v>#N/A</v>
      </c>
    </row>
    <row r="152" spans="1:7" ht="12" hidden="1" customHeight="1" x14ac:dyDescent="0.25">
      <c r="A152" s="15" t="s">
        <v>967</v>
      </c>
      <c r="B152" s="29">
        <v>9473.75</v>
      </c>
      <c r="C152" s="15">
        <v>0</v>
      </c>
      <c r="G152" s="15" t="str">
        <f t="shared" si="16"/>
        <v>00109070503499</v>
      </c>
    </row>
    <row r="153" spans="1:7" ht="12" hidden="1" customHeight="1" x14ac:dyDescent="0.25">
      <c r="A153" s="15" t="s">
        <v>968</v>
      </c>
      <c r="B153" s="29">
        <v>679.38</v>
      </c>
      <c r="C153" s="15">
        <v>339.69</v>
      </c>
      <c r="G153" s="15" t="str">
        <f t="shared" si="16"/>
        <v>00109070503901</v>
      </c>
    </row>
    <row r="154" spans="1:7" ht="12" hidden="1" customHeight="1" x14ac:dyDescent="0.25">
      <c r="A154" s="15" t="s">
        <v>969</v>
      </c>
      <c r="B154" s="29">
        <v>0</v>
      </c>
      <c r="C154" s="15">
        <v>0</v>
      </c>
      <c r="G154" s="15" t="e">
        <f t="shared" si="16"/>
        <v>#N/A</v>
      </c>
    </row>
    <row r="155" spans="1:7" ht="12" hidden="1" customHeight="1" x14ac:dyDescent="0.25">
      <c r="A155" s="15" t="s">
        <v>970</v>
      </c>
      <c r="B155" s="29">
        <v>0</v>
      </c>
      <c r="C155" s="15">
        <v>0</v>
      </c>
      <c r="G155" s="15" t="e">
        <f t="shared" si="16"/>
        <v>#N/A</v>
      </c>
    </row>
    <row r="156" spans="1:7" ht="12" hidden="1" customHeight="1" x14ac:dyDescent="0.25">
      <c r="A156" s="15" t="s">
        <v>971</v>
      </c>
      <c r="B156" s="29">
        <v>0</v>
      </c>
      <c r="C156" s="15">
        <v>0</v>
      </c>
      <c r="G156" s="15" t="e">
        <f t="shared" si="16"/>
        <v>#N/A</v>
      </c>
    </row>
    <row r="157" spans="1:7" ht="12" hidden="1" customHeight="1" x14ac:dyDescent="0.25">
      <c r="A157" s="15" t="s">
        <v>972</v>
      </c>
      <c r="B157" s="29">
        <v>0</v>
      </c>
      <c r="C157" s="15">
        <v>0</v>
      </c>
      <c r="G157" s="15" t="e">
        <f t="shared" si="16"/>
        <v>#N/A</v>
      </c>
    </row>
    <row r="158" spans="1:7" ht="12" hidden="1" customHeight="1" x14ac:dyDescent="0.25">
      <c r="A158" s="15" t="s">
        <v>973</v>
      </c>
      <c r="B158" s="29">
        <v>0</v>
      </c>
      <c r="C158" s="15">
        <v>0</v>
      </c>
      <c r="G158" s="15" t="e">
        <f t="shared" si="16"/>
        <v>#N/A</v>
      </c>
    </row>
    <row r="159" spans="1:7" ht="12" hidden="1" customHeight="1" x14ac:dyDescent="0.25">
      <c r="A159" s="15" t="s">
        <v>974</v>
      </c>
      <c r="B159" s="29">
        <v>1382</v>
      </c>
      <c r="C159" s="15">
        <v>489</v>
      </c>
      <c r="G159" s="15" t="str">
        <f t="shared" si="16"/>
        <v>00109070504060</v>
      </c>
    </row>
    <row r="160" spans="1:7" ht="12" hidden="1" customHeight="1" x14ac:dyDescent="0.25">
      <c r="A160" s="15" t="s">
        <v>975</v>
      </c>
      <c r="B160" s="29">
        <v>-1310</v>
      </c>
      <c r="C160" s="15">
        <v>2845</v>
      </c>
      <c r="G160" s="15" t="str">
        <f t="shared" si="16"/>
        <v>00109070504070</v>
      </c>
    </row>
    <row r="161" spans="1:7" ht="12" hidden="1" customHeight="1" x14ac:dyDescent="0.25">
      <c r="A161" s="15" t="s">
        <v>976</v>
      </c>
      <c r="B161" s="29">
        <v>951376.96</v>
      </c>
      <c r="C161" s="15">
        <v>932925.06</v>
      </c>
      <c r="G161" s="15" t="str">
        <f t="shared" si="16"/>
        <v>00109070504310</v>
      </c>
    </row>
    <row r="162" spans="1:7" ht="12" hidden="1" customHeight="1" x14ac:dyDescent="0.25">
      <c r="A162" s="15" t="s">
        <v>977</v>
      </c>
      <c r="B162" s="29">
        <v>347795.8</v>
      </c>
      <c r="C162" s="15">
        <v>332985.08</v>
      </c>
      <c r="G162" s="15" t="str">
        <f t="shared" si="16"/>
        <v>00109070504315</v>
      </c>
    </row>
    <row r="163" spans="1:7" ht="12" hidden="1" customHeight="1" x14ac:dyDescent="0.25">
      <c r="A163" s="15" t="s">
        <v>978</v>
      </c>
      <c r="B163" s="29">
        <v>13436</v>
      </c>
      <c r="C163" s="15">
        <v>810</v>
      </c>
      <c r="G163" s="15" t="str">
        <f t="shared" si="16"/>
        <v>00109070504430</v>
      </c>
    </row>
    <row r="164" spans="1:7" ht="12" hidden="1" customHeight="1" x14ac:dyDescent="0.25">
      <c r="A164" s="15" t="s">
        <v>979</v>
      </c>
      <c r="B164" s="29">
        <v>196252.07</v>
      </c>
      <c r="C164" s="15">
        <v>186089.87</v>
      </c>
      <c r="G164" s="15" t="str">
        <f t="shared" si="16"/>
        <v>00109070504601</v>
      </c>
    </row>
    <row r="165" spans="1:7" ht="12" hidden="1" customHeight="1" x14ac:dyDescent="0.25">
      <c r="A165" s="15" t="s">
        <v>980</v>
      </c>
      <c r="B165" s="29">
        <v>9.98</v>
      </c>
      <c r="C165" s="15">
        <v>0</v>
      </c>
      <c r="G165" s="15" t="str">
        <f t="shared" si="16"/>
        <v>00109070504610</v>
      </c>
    </row>
    <row r="166" spans="1:7" ht="12" hidden="1" customHeight="1" x14ac:dyDescent="0.25">
      <c r="A166" s="15" t="s">
        <v>981</v>
      </c>
      <c r="B166" s="29">
        <v>0</v>
      </c>
      <c r="C166" s="15">
        <v>2087.3200000000002</v>
      </c>
      <c r="G166" s="15" t="str">
        <f t="shared" si="16"/>
        <v>00109070504620</v>
      </c>
    </row>
    <row r="167" spans="1:7" ht="12" hidden="1" customHeight="1" x14ac:dyDescent="0.25">
      <c r="A167" s="15" t="s">
        <v>982</v>
      </c>
      <c r="B167" s="29">
        <v>78450.12</v>
      </c>
      <c r="C167" s="15">
        <v>98921.66</v>
      </c>
      <c r="G167" s="15" t="str">
        <f t="shared" si="16"/>
        <v>00109070504680</v>
      </c>
    </row>
    <row r="168" spans="1:7" ht="12" hidden="1" customHeight="1" x14ac:dyDescent="0.25">
      <c r="A168" s="15" t="s">
        <v>983</v>
      </c>
      <c r="B168" s="29">
        <v>49931.33</v>
      </c>
      <c r="C168" s="15">
        <v>59747.37</v>
      </c>
      <c r="G168" s="15" t="str">
        <f t="shared" si="16"/>
        <v>00109070504683</v>
      </c>
    </row>
    <row r="169" spans="1:7" ht="12" hidden="1" customHeight="1" x14ac:dyDescent="0.25">
      <c r="A169" s="15" t="s">
        <v>984</v>
      </c>
      <c r="B169" s="29">
        <v>568.88</v>
      </c>
      <c r="C169" s="15">
        <v>57.15</v>
      </c>
      <c r="G169" s="15" t="str">
        <f t="shared" si="16"/>
        <v>00109070504710</v>
      </c>
    </row>
    <row r="170" spans="1:7" ht="12" hidden="1" customHeight="1" x14ac:dyDescent="0.25">
      <c r="A170" s="15" t="s">
        <v>985</v>
      </c>
      <c r="B170" s="29">
        <v>2286.5</v>
      </c>
      <c r="C170" s="15">
        <v>0</v>
      </c>
      <c r="G170" s="15" t="str">
        <f t="shared" si="16"/>
        <v>00109070504810</v>
      </c>
    </row>
    <row r="171" spans="1:7" ht="12" hidden="1" customHeight="1" x14ac:dyDescent="0.25">
      <c r="A171" s="15" t="s">
        <v>986</v>
      </c>
      <c r="B171" s="29">
        <v>0</v>
      </c>
      <c r="C171" s="15">
        <v>0</v>
      </c>
      <c r="G171" s="15" t="e">
        <f t="shared" si="16"/>
        <v>#N/A</v>
      </c>
    </row>
    <row r="172" spans="1:7" ht="12" hidden="1" customHeight="1" x14ac:dyDescent="0.25">
      <c r="A172" s="15" t="s">
        <v>987</v>
      </c>
      <c r="B172" s="29">
        <v>0</v>
      </c>
      <c r="C172" s="15">
        <v>0</v>
      </c>
      <c r="G172" s="15" t="str">
        <f t="shared" si="16"/>
        <v>00109070505101</v>
      </c>
    </row>
    <row r="173" spans="1:7" ht="12" hidden="1" customHeight="1" x14ac:dyDescent="0.25">
      <c r="A173" s="15" t="s">
        <v>988</v>
      </c>
      <c r="B173" s="29">
        <v>19183.54</v>
      </c>
      <c r="C173" s="15">
        <v>13381.85</v>
      </c>
      <c r="G173" s="15" t="str">
        <f t="shared" si="16"/>
        <v>00109070505201</v>
      </c>
    </row>
    <row r="174" spans="1:7" ht="12" hidden="1" customHeight="1" x14ac:dyDescent="0.25">
      <c r="A174" s="15" t="s">
        <v>989</v>
      </c>
      <c r="B174" s="29">
        <v>0</v>
      </c>
      <c r="C174" s="15">
        <v>0</v>
      </c>
      <c r="G174" s="15" t="e">
        <f t="shared" si="16"/>
        <v>#N/A</v>
      </c>
    </row>
    <row r="175" spans="1:7" ht="12" hidden="1" customHeight="1" x14ac:dyDescent="0.25">
      <c r="A175" s="15" t="s">
        <v>990</v>
      </c>
      <c r="B175" s="29">
        <v>56499.45</v>
      </c>
      <c r="C175" s="15">
        <v>63395.18</v>
      </c>
      <c r="G175" s="15" t="str">
        <f t="shared" si="16"/>
        <v>00109070505210</v>
      </c>
    </row>
    <row r="176" spans="1:7" ht="12" hidden="1" customHeight="1" x14ac:dyDescent="0.25">
      <c r="A176" s="15" t="s">
        <v>991</v>
      </c>
      <c r="B176" s="29">
        <v>1212</v>
      </c>
      <c r="C176" s="15">
        <v>950</v>
      </c>
      <c r="G176" s="15" t="str">
        <f t="shared" si="16"/>
        <v>00109070505401</v>
      </c>
    </row>
    <row r="177" spans="1:7" ht="12" hidden="1" customHeight="1" x14ac:dyDescent="0.25">
      <c r="A177" s="15" t="s">
        <v>992</v>
      </c>
      <c r="B177" s="29">
        <v>0</v>
      </c>
      <c r="C177" s="15">
        <v>10.57</v>
      </c>
      <c r="G177" s="15" t="str">
        <f t="shared" si="16"/>
        <v>00109070505501</v>
      </c>
    </row>
    <row r="178" spans="1:7" ht="12" hidden="1" customHeight="1" x14ac:dyDescent="0.25">
      <c r="A178" s="15" t="s">
        <v>993</v>
      </c>
      <c r="B178" s="29">
        <v>10770.23</v>
      </c>
      <c r="C178" s="15">
        <v>9813.4500000000007</v>
      </c>
      <c r="G178" s="15" t="str">
        <f t="shared" si="16"/>
        <v>00109070505505</v>
      </c>
    </row>
    <row r="179" spans="1:7" ht="12" hidden="1" customHeight="1" x14ac:dyDescent="0.25">
      <c r="A179" s="15" t="s">
        <v>994</v>
      </c>
      <c r="B179" s="29">
        <v>1762.62</v>
      </c>
      <c r="C179" s="15">
        <v>1697.63</v>
      </c>
      <c r="G179" s="15" t="str">
        <f t="shared" si="16"/>
        <v>00109070505532</v>
      </c>
    </row>
    <row r="180" spans="1:7" ht="12" hidden="1" customHeight="1" x14ac:dyDescent="0.25">
      <c r="A180" s="15" t="s">
        <v>995</v>
      </c>
      <c r="B180" s="29">
        <v>160.66</v>
      </c>
      <c r="C180" s="15">
        <v>361.06</v>
      </c>
      <c r="G180" s="15" t="str">
        <f t="shared" si="16"/>
        <v>00109070505540</v>
      </c>
    </row>
    <row r="181" spans="1:7" ht="12" hidden="1" customHeight="1" x14ac:dyDescent="0.25">
      <c r="A181" s="15" t="s">
        <v>996</v>
      </c>
      <c r="B181" s="29">
        <v>935.6</v>
      </c>
      <c r="C181" s="15">
        <v>2041.5</v>
      </c>
      <c r="G181" s="15" t="str">
        <f t="shared" si="16"/>
        <v>00109070505550</v>
      </c>
    </row>
    <row r="182" spans="1:7" ht="12" hidden="1" customHeight="1" x14ac:dyDescent="0.25">
      <c r="A182" s="15" t="s">
        <v>997</v>
      </c>
      <c r="B182" s="29">
        <v>0</v>
      </c>
      <c r="C182" s="15">
        <v>0</v>
      </c>
      <c r="G182" s="15" t="e">
        <f t="shared" si="16"/>
        <v>#N/A</v>
      </c>
    </row>
    <row r="183" spans="1:7" ht="12" hidden="1" customHeight="1" x14ac:dyDescent="0.25">
      <c r="A183" s="15" t="s">
        <v>998</v>
      </c>
      <c r="B183" s="29">
        <v>6629.55</v>
      </c>
      <c r="C183" s="15">
        <v>4913.25</v>
      </c>
      <c r="G183" s="15" t="str">
        <f t="shared" si="16"/>
        <v>00109070505701</v>
      </c>
    </row>
    <row r="184" spans="1:7" ht="12" hidden="1" customHeight="1" x14ac:dyDescent="0.25">
      <c r="A184" s="15" t="s">
        <v>999</v>
      </c>
      <c r="B184" s="29">
        <v>782.66</v>
      </c>
      <c r="C184" s="15">
        <v>1738.98</v>
      </c>
      <c r="G184" s="15" t="str">
        <f t="shared" si="16"/>
        <v>00109070505710</v>
      </c>
    </row>
    <row r="185" spans="1:7" ht="12" hidden="1" customHeight="1" x14ac:dyDescent="0.25">
      <c r="A185" s="15" t="s">
        <v>1000</v>
      </c>
      <c r="B185" s="29">
        <v>0</v>
      </c>
      <c r="C185" s="15">
        <v>0</v>
      </c>
      <c r="G185" s="15" t="e">
        <f t="shared" si="16"/>
        <v>#N/A</v>
      </c>
    </row>
    <row r="186" spans="1:7" ht="12" hidden="1" customHeight="1" x14ac:dyDescent="0.25">
      <c r="A186" s="15" t="s">
        <v>1001</v>
      </c>
      <c r="B186" s="29">
        <v>0</v>
      </c>
      <c r="C186" s="15">
        <v>109.99</v>
      </c>
      <c r="G186" s="15" t="str">
        <f t="shared" si="16"/>
        <v>00109070505801</v>
      </c>
    </row>
    <row r="187" spans="1:7" ht="12" hidden="1" customHeight="1" x14ac:dyDescent="0.25">
      <c r="A187" s="15" t="s">
        <v>1002</v>
      </c>
      <c r="B187" s="29">
        <v>0</v>
      </c>
      <c r="C187" s="15">
        <v>0</v>
      </c>
      <c r="G187" s="15" t="e">
        <f t="shared" si="16"/>
        <v>#N/A</v>
      </c>
    </row>
    <row r="188" spans="1:7" ht="12" hidden="1" customHeight="1" x14ac:dyDescent="0.25">
      <c r="A188" s="15" t="s">
        <v>1003</v>
      </c>
      <c r="B188" s="29">
        <v>0</v>
      </c>
      <c r="C188" s="15">
        <v>0</v>
      </c>
      <c r="G188" s="15" t="e">
        <f t="shared" si="16"/>
        <v>#N/A</v>
      </c>
    </row>
    <row r="189" spans="1:7" ht="12" hidden="1" customHeight="1" x14ac:dyDescent="0.25">
      <c r="A189" s="15" t="s">
        <v>1004</v>
      </c>
      <c r="B189" s="29">
        <v>0</v>
      </c>
      <c r="C189" s="15">
        <v>0</v>
      </c>
      <c r="G189" s="15" t="e">
        <f t="shared" si="16"/>
        <v>#N/A</v>
      </c>
    </row>
    <row r="190" spans="1:7" ht="12" hidden="1" customHeight="1" x14ac:dyDescent="0.25">
      <c r="A190" s="15" t="s">
        <v>1005</v>
      </c>
      <c r="B190" s="29">
        <v>0</v>
      </c>
      <c r="C190" s="15">
        <v>0</v>
      </c>
      <c r="G190" s="15" t="e">
        <f t="shared" si="16"/>
        <v>#N/A</v>
      </c>
    </row>
    <row r="191" spans="1:7" ht="12" hidden="1" customHeight="1" x14ac:dyDescent="0.25">
      <c r="A191" s="15" t="s">
        <v>1006</v>
      </c>
      <c r="B191" s="29">
        <v>0</v>
      </c>
      <c r="C191" s="15">
        <v>0</v>
      </c>
      <c r="G191" s="15" t="e">
        <f t="shared" si="16"/>
        <v>#N/A</v>
      </c>
    </row>
    <row r="192" spans="1:7" ht="12" hidden="1" customHeight="1" x14ac:dyDescent="0.25">
      <c r="A192" s="15" t="s">
        <v>1007</v>
      </c>
      <c r="B192" s="29">
        <v>0</v>
      </c>
      <c r="C192" s="15">
        <v>0</v>
      </c>
      <c r="G192" s="15" t="e">
        <f t="shared" si="16"/>
        <v>#N/A</v>
      </c>
    </row>
    <row r="193" spans="1:7" ht="12" hidden="1" customHeight="1" x14ac:dyDescent="0.25">
      <c r="A193" s="15" t="s">
        <v>1008</v>
      </c>
      <c r="B193" s="29">
        <v>0</v>
      </c>
      <c r="C193" s="15">
        <v>0</v>
      </c>
      <c r="G193" s="15" t="e">
        <f t="shared" si="16"/>
        <v>#N/A</v>
      </c>
    </row>
    <row r="194" spans="1:7" ht="12" hidden="1" customHeight="1" x14ac:dyDescent="0.25">
      <c r="A194" s="15" t="s">
        <v>1009</v>
      </c>
      <c r="B194" s="29">
        <v>0</v>
      </c>
      <c r="C194" s="15">
        <v>0</v>
      </c>
      <c r="G194" s="15" t="e">
        <f t="shared" ref="G194:G198" si="17">VLOOKUP(A194,E:E,1,FALSE)</f>
        <v>#N/A</v>
      </c>
    </row>
    <row r="195" spans="1:7" ht="12" hidden="1" customHeight="1" x14ac:dyDescent="0.25">
      <c r="A195" s="15" t="s">
        <v>1010</v>
      </c>
      <c r="B195" s="29">
        <v>0</v>
      </c>
      <c r="C195" s="15">
        <v>0</v>
      </c>
      <c r="G195" s="15" t="e">
        <f t="shared" si="17"/>
        <v>#N/A</v>
      </c>
    </row>
    <row r="196" spans="1:7" ht="12" hidden="1" customHeight="1" x14ac:dyDescent="0.25">
      <c r="A196" s="15" t="s">
        <v>1011</v>
      </c>
      <c r="B196" s="29">
        <v>0</v>
      </c>
      <c r="C196" s="15">
        <v>0</v>
      </c>
      <c r="G196" s="15" t="e">
        <f t="shared" si="17"/>
        <v>#N/A</v>
      </c>
    </row>
    <row r="197" spans="1:7" ht="12" hidden="1" customHeight="1" x14ac:dyDescent="0.25">
      <c r="A197" s="15" t="s">
        <v>1012</v>
      </c>
      <c r="B197" s="29">
        <v>0</v>
      </c>
      <c r="C197" s="15">
        <v>0</v>
      </c>
      <c r="G197" s="15" t="e">
        <f t="shared" si="17"/>
        <v>#N/A</v>
      </c>
    </row>
    <row r="198" spans="1:7" ht="12" hidden="1" customHeight="1" x14ac:dyDescent="0.25">
      <c r="A198" s="15" t="s">
        <v>1013</v>
      </c>
      <c r="B198" s="29">
        <v>0</v>
      </c>
      <c r="C198" s="15">
        <v>0</v>
      </c>
      <c r="G198" s="15" t="e">
        <f t="shared" si="17"/>
        <v>#N/A</v>
      </c>
    </row>
    <row r="199" spans="1:7" ht="12" hidden="1" customHeight="1" x14ac:dyDescent="0.25"/>
  </sheetData>
  <mergeCells count="6">
    <mergeCell ref="A1:O1"/>
    <mergeCell ref="A2:O2"/>
    <mergeCell ref="A4:O4"/>
    <mergeCell ref="A5:O5"/>
    <mergeCell ref="A6:O6"/>
    <mergeCell ref="M8:Q8"/>
  </mergeCells>
  <printOptions horizontalCentered="1"/>
  <pageMargins left="0.75" right="0.75" top="0.5" bottom="0.5" header="0.5" footer="0.5"/>
  <pageSetup scale="95" firstPageNumber="5" fitToHeight="0" orientation="portrait" useFirstPageNumber="1" r:id="rId1"/>
  <headerFooter alignWithMargins="0"/>
  <rowBreaks count="2" manualBreakCount="2">
    <brk id="50" max="16383" man="1"/>
    <brk id="94" max="1638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AE54-9B49-48A1-B80A-859E8B0779B9}">
  <sheetPr>
    <tabColor rgb="FFDDDDFF"/>
  </sheetPr>
  <dimension ref="A1:U109"/>
  <sheetViews>
    <sheetView showGridLines="0" view="pageBreakPreview" zoomScaleNormal="100" zoomScaleSheetLayoutView="100" workbookViewId="0">
      <selection activeCell="M17" activeCellId="1" sqref="K17 M17"/>
    </sheetView>
  </sheetViews>
  <sheetFormatPr defaultColWidth="9.140625" defaultRowHeight="12" x14ac:dyDescent="0.2"/>
  <cols>
    <col min="1" max="1" width="31.140625" style="15" customWidth="1"/>
    <col min="2" max="2" width="6.140625" style="15" customWidth="1"/>
    <col min="3" max="3" width="5.28515625" style="15" customWidth="1"/>
    <col min="4" max="4" width="1.7109375" style="42" customWidth="1"/>
    <col min="5" max="5" width="9.140625" style="15" customWidth="1"/>
    <col min="6" max="6" width="1.7109375" style="42" customWidth="1"/>
    <col min="7" max="7" width="9.140625" style="15" customWidth="1"/>
    <col min="8" max="8" width="1.7109375" style="42" customWidth="1"/>
    <col min="9" max="9" width="9.140625" style="15" customWidth="1"/>
    <col min="10" max="10" width="1.7109375" style="42" customWidth="1"/>
    <col min="11" max="11" width="9.140625" style="15" customWidth="1"/>
    <col min="12" max="12" width="1.7109375" style="42" customWidth="1"/>
    <col min="13" max="15" width="9.140625" style="15" customWidth="1"/>
    <col min="16" max="17" width="9.140625" style="15"/>
    <col min="18" max="18" width="10" style="15" bestFit="1" customWidth="1"/>
    <col min="19" max="20" width="9.140625" style="15"/>
    <col min="21" max="21" width="10" style="15" bestFit="1" customWidth="1"/>
    <col min="22" max="16384" width="9.140625" style="15"/>
  </cols>
  <sheetData>
    <row r="1" spans="1:21" ht="13.15" customHeight="1" x14ac:dyDescent="0.2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21" ht="13.15" customHeight="1" x14ac:dyDescent="0.2">
      <c r="A2" s="1" t="str">
        <f>'[1]Admin Summary'!A2:K2</f>
        <v>Fiscal Year 2026 / 2027 Annual Budget</v>
      </c>
      <c r="B2" s="165"/>
      <c r="C2" s="16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1" ht="13.15" customHeight="1" x14ac:dyDescent="0.2">
      <c r="A3" s="8"/>
      <c r="B3" s="8"/>
      <c r="C3" s="8"/>
      <c r="E3" s="8"/>
      <c r="G3" s="8"/>
      <c r="I3" s="8"/>
      <c r="K3" s="8"/>
      <c r="M3" s="8"/>
    </row>
    <row r="4" spans="1:21" ht="13.15" customHeight="1" x14ac:dyDescent="0.25">
      <c r="A4" s="206" t="s">
        <v>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21" ht="13.15" customHeight="1" x14ac:dyDescent="0.25">
      <c r="A5" s="83" t="s">
        <v>1014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</row>
    <row r="6" spans="1:21" ht="13.15" customHeight="1" x14ac:dyDescent="0.25">
      <c r="A6" s="83" t="s">
        <v>1015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spans="1:21" ht="13.15" customHeight="1" x14ac:dyDescent="0.2">
      <c r="A7" s="115"/>
      <c r="B7" s="115"/>
      <c r="C7" s="115"/>
      <c r="D7" s="110"/>
      <c r="E7" s="115"/>
      <c r="F7" s="110"/>
      <c r="G7" s="115"/>
      <c r="H7" s="110"/>
      <c r="I7" s="115"/>
      <c r="J7" s="110"/>
      <c r="K7" s="115"/>
      <c r="L7" s="110"/>
      <c r="M7" s="115"/>
    </row>
    <row r="8" spans="1:21" ht="12" customHeight="1" x14ac:dyDescent="0.2"/>
    <row r="9" spans="1:21" ht="12" customHeight="1" x14ac:dyDescent="0.2">
      <c r="B9" s="24" t="s">
        <v>678</v>
      </c>
      <c r="C9" s="24" t="s">
        <v>10</v>
      </c>
      <c r="E9" s="24">
        <f>' 914 Westmonte'!G9</f>
        <v>2024</v>
      </c>
      <c r="G9" s="24">
        <f>' 914 Westmonte'!I9</f>
        <v>2025</v>
      </c>
      <c r="I9" s="215">
        <f>' 914 Westmonte'!K9</f>
        <v>2026</v>
      </c>
      <c r="J9" s="215"/>
      <c r="K9" s="215"/>
      <c r="M9" s="168">
        <f>' 914 Westmonte'!M8</f>
        <v>2027</v>
      </c>
      <c r="O9" s="24">
        <f>E9</f>
        <v>2024</v>
      </c>
      <c r="P9" s="24">
        <f>G9</f>
        <v>2025</v>
      </c>
      <c r="Q9" s="24"/>
      <c r="R9" s="24" t="s">
        <v>1016</v>
      </c>
      <c r="S9" s="24" t="s">
        <v>679</v>
      </c>
      <c r="T9" s="24"/>
    </row>
    <row r="10" spans="1:21" ht="12" customHeight="1" x14ac:dyDescent="0.2">
      <c r="B10" s="27" t="s">
        <v>680</v>
      </c>
      <c r="C10" s="27" t="s">
        <v>680</v>
      </c>
      <c r="E10" s="27" t="s">
        <v>11</v>
      </c>
      <c r="G10" s="27" t="s">
        <v>11</v>
      </c>
      <c r="I10" s="27" t="s">
        <v>12</v>
      </c>
      <c r="K10" s="169" t="s">
        <v>681</v>
      </c>
      <c r="M10" s="170" t="s">
        <v>12</v>
      </c>
      <c r="O10" s="27" t="s">
        <v>11</v>
      </c>
      <c r="P10" s="27" t="s">
        <v>11</v>
      </c>
      <c r="Q10" s="24"/>
      <c r="R10" s="171">
        <v>45770</v>
      </c>
      <c r="S10" s="27" t="s">
        <v>1017</v>
      </c>
      <c r="T10" s="27" t="s">
        <v>683</v>
      </c>
    </row>
    <row r="11" spans="1:21" ht="15" customHeight="1" x14ac:dyDescent="0.2">
      <c r="A11" s="99" t="s">
        <v>684</v>
      </c>
      <c r="B11" s="77"/>
      <c r="C11" s="77"/>
      <c r="R11" s="126">
        <v>0</v>
      </c>
      <c r="S11" s="126">
        <f>(R11/6)*6</f>
        <v>0</v>
      </c>
      <c r="T11" s="126">
        <f>+R11+S11</f>
        <v>0</v>
      </c>
      <c r="U11" s="15" t="s">
        <v>1018</v>
      </c>
    </row>
    <row r="12" spans="1:21" ht="15" customHeight="1" x14ac:dyDescent="0.2">
      <c r="A12" s="172" t="s">
        <v>1019</v>
      </c>
      <c r="B12" s="173">
        <v>349010</v>
      </c>
      <c r="C12" s="172"/>
      <c r="D12" s="42" t="s">
        <v>19</v>
      </c>
      <c r="E12" s="216">
        <f>ROUND(O12,0)</f>
        <v>0</v>
      </c>
      <c r="F12" s="42" t="s">
        <v>19</v>
      </c>
      <c r="G12" s="216">
        <f>ROUND(P12,0)</f>
        <v>2700</v>
      </c>
      <c r="H12" s="42" t="s">
        <v>19</v>
      </c>
      <c r="I12" s="217">
        <v>0</v>
      </c>
      <c r="J12" s="42" t="s">
        <v>19</v>
      </c>
      <c r="K12" s="131">
        <v>0</v>
      </c>
      <c r="L12" s="42" t="s">
        <v>19</v>
      </c>
      <c r="M12" s="131">
        <v>0</v>
      </c>
      <c r="O12" s="216">
        <v>0</v>
      </c>
      <c r="P12" s="216">
        <v>2700</v>
      </c>
      <c r="Q12" s="216"/>
      <c r="R12" s="127">
        <v>0</v>
      </c>
      <c r="S12" s="127">
        <f>(R12/6)*6</f>
        <v>0</v>
      </c>
      <c r="T12" s="127">
        <f>+R12+S12</f>
        <v>0</v>
      </c>
      <c r="U12" s="15" t="s">
        <v>1020</v>
      </c>
    </row>
    <row r="13" spans="1:21" ht="15" customHeight="1" x14ac:dyDescent="0.2">
      <c r="A13" s="172" t="s">
        <v>1021</v>
      </c>
      <c r="B13" s="173">
        <v>361100</v>
      </c>
      <c r="C13" s="172"/>
      <c r="D13" s="15"/>
      <c r="E13" s="216">
        <f>ROUND(O13,0)</f>
        <v>7613</v>
      </c>
      <c r="F13" s="15"/>
      <c r="G13" s="216">
        <f>ROUND(P13,0)</f>
        <v>4236</v>
      </c>
      <c r="H13" s="15"/>
      <c r="I13" s="217">
        <v>0</v>
      </c>
      <c r="J13" s="15"/>
      <c r="K13" s="131">
        <f>T14</f>
        <v>0</v>
      </c>
      <c r="L13" s="15"/>
      <c r="M13" s="131">
        <v>0</v>
      </c>
      <c r="O13" s="216">
        <f>2283.65+5288.5+41.03</f>
        <v>7613.1799999999994</v>
      </c>
      <c r="P13" s="216">
        <f>2392.74+1813.15+30.02</f>
        <v>4235.91</v>
      </c>
      <c r="Q13" s="216"/>
      <c r="R13" s="126">
        <v>0</v>
      </c>
      <c r="S13" s="126">
        <f t="shared" ref="S13" si="0">(R13/6)*6</f>
        <v>0</v>
      </c>
      <c r="T13" s="126">
        <f>+R13+S13</f>
        <v>0</v>
      </c>
      <c r="U13" s="15" t="s">
        <v>1022</v>
      </c>
    </row>
    <row r="14" spans="1:21" ht="24.95" customHeight="1" x14ac:dyDescent="0.2">
      <c r="A14" s="102" t="s">
        <v>688</v>
      </c>
      <c r="B14" s="102"/>
      <c r="C14" s="102"/>
      <c r="D14" s="42" t="s">
        <v>19</v>
      </c>
      <c r="E14" s="218">
        <f>SUM(E12:E13)</f>
        <v>7613</v>
      </c>
      <c r="F14" s="42" t="s">
        <v>19</v>
      </c>
      <c r="G14" s="218">
        <f>SUM(G12:G13)</f>
        <v>6936</v>
      </c>
      <c r="H14" s="42" t="s">
        <v>19</v>
      </c>
      <c r="I14" s="218">
        <f>SUM(I12:I13)</f>
        <v>0</v>
      </c>
      <c r="J14" s="42" t="s">
        <v>19</v>
      </c>
      <c r="K14" s="218">
        <f>SUM(K12:K13)</f>
        <v>0</v>
      </c>
      <c r="L14" s="42" t="s">
        <v>19</v>
      </c>
      <c r="M14" s="218">
        <f>SUM(M12:M13)</f>
        <v>0</v>
      </c>
      <c r="O14" s="218">
        <f>SUM(O13:O13)</f>
        <v>7613.1799999999994</v>
      </c>
      <c r="P14" s="218">
        <f>SUM(P13:P13)</f>
        <v>4235.91</v>
      </c>
      <c r="Q14" s="217"/>
      <c r="R14" s="44">
        <f>SUM(R11:R13)</f>
        <v>0</v>
      </c>
      <c r="S14" s="44">
        <f>SUM(S11:S13)</f>
        <v>0</v>
      </c>
      <c r="T14" s="44">
        <f>SUM(T11:T13)</f>
        <v>0</v>
      </c>
    </row>
    <row r="15" spans="1:21" ht="24.95" customHeight="1" x14ac:dyDescent="0.2">
      <c r="A15" s="99" t="s">
        <v>691</v>
      </c>
      <c r="B15" s="77"/>
      <c r="C15" s="77"/>
      <c r="E15" s="86"/>
      <c r="F15" s="119"/>
      <c r="G15" s="86"/>
      <c r="H15" s="130"/>
      <c r="I15" s="86"/>
      <c r="J15" s="130"/>
      <c r="K15" s="86"/>
      <c r="L15" s="130"/>
      <c r="M15" s="86"/>
      <c r="O15" s="86"/>
      <c r="P15" s="86"/>
      <c r="Q15" s="86"/>
    </row>
    <row r="16" spans="1:21" ht="15" customHeight="1" x14ac:dyDescent="0.2">
      <c r="A16" s="40" t="s">
        <v>193</v>
      </c>
      <c r="B16" s="99"/>
      <c r="C16" s="99"/>
      <c r="E16" s="86"/>
      <c r="F16" s="119"/>
      <c r="G16" s="86"/>
      <c r="H16" s="130"/>
      <c r="I16" s="86"/>
      <c r="J16" s="130"/>
      <c r="K16" s="86"/>
      <c r="L16" s="130"/>
      <c r="M16" s="86"/>
      <c r="O16" s="86"/>
      <c r="P16" s="86"/>
      <c r="Q16" s="86"/>
      <c r="R16" s="219"/>
      <c r="S16" s="219"/>
      <c r="T16" s="24"/>
      <c r="U16" s="24"/>
    </row>
    <row r="17" spans="1:21" ht="15" customHeight="1" x14ac:dyDescent="0.2">
      <c r="A17" s="60" t="s">
        <v>1023</v>
      </c>
      <c r="B17" s="184">
        <v>503420</v>
      </c>
      <c r="C17" s="184"/>
      <c r="D17" s="42" t="s">
        <v>19</v>
      </c>
      <c r="E17" s="216">
        <f>ROUND(O17,0)</f>
        <v>17289</v>
      </c>
      <c r="F17" s="42" t="s">
        <v>19</v>
      </c>
      <c r="G17" s="216">
        <f>ROUND(P17,0)</f>
        <v>0</v>
      </c>
      <c r="H17" s="42" t="s">
        <v>19</v>
      </c>
      <c r="I17" s="131">
        <v>55000</v>
      </c>
      <c r="J17" s="42" t="s">
        <v>19</v>
      </c>
      <c r="K17" s="241">
        <v>0</v>
      </c>
      <c r="L17" s="42" t="s">
        <v>19</v>
      </c>
      <c r="M17" s="241">
        <v>55000</v>
      </c>
      <c r="O17" s="131">
        <v>17288.650000000001</v>
      </c>
      <c r="P17" s="131">
        <v>0</v>
      </c>
      <c r="Q17" s="131"/>
      <c r="R17" s="145"/>
      <c r="S17" s="145"/>
      <c r="T17" s="145"/>
      <c r="U17" s="145"/>
    </row>
    <row r="18" spans="1:21" ht="15" customHeight="1" x14ac:dyDescent="0.2">
      <c r="A18" s="40" t="s">
        <v>1024</v>
      </c>
      <c r="B18" s="184">
        <v>587001</v>
      </c>
      <c r="C18" s="184"/>
      <c r="E18" s="220">
        <f>ROUND(O18,0)</f>
        <v>0</v>
      </c>
      <c r="F18" s="119"/>
      <c r="G18" s="220">
        <f>ROUND(P18,0)</f>
        <v>0</v>
      </c>
      <c r="H18" s="119"/>
      <c r="I18" s="101">
        <v>3468</v>
      </c>
      <c r="J18" s="119"/>
      <c r="K18" s="101">
        <v>0</v>
      </c>
      <c r="L18" s="119"/>
      <c r="M18" s="101">
        <v>0</v>
      </c>
      <c r="O18" s="101">
        <v>0</v>
      </c>
      <c r="P18" s="101">
        <v>0</v>
      </c>
      <c r="Q18" s="131"/>
    </row>
    <row r="19" spans="1:21" ht="24.95" customHeight="1" x14ac:dyDescent="0.2">
      <c r="A19" s="40" t="s">
        <v>694</v>
      </c>
      <c r="B19" s="99"/>
      <c r="C19" s="99"/>
      <c r="D19" s="42" t="s">
        <v>19</v>
      </c>
      <c r="E19" s="221">
        <f>SUM(E17:E18)</f>
        <v>17289</v>
      </c>
      <c r="F19" s="42" t="s">
        <v>19</v>
      </c>
      <c r="G19" s="221">
        <f>SUM(G17:G18)</f>
        <v>0</v>
      </c>
      <c r="H19" s="42" t="s">
        <v>19</v>
      </c>
      <c r="I19" s="221">
        <f>SUM(I17:I18)</f>
        <v>58468</v>
      </c>
      <c r="J19" s="42" t="s">
        <v>19</v>
      </c>
      <c r="K19" s="221">
        <f>SUM(K17:K18)</f>
        <v>0</v>
      </c>
      <c r="L19" s="42" t="s">
        <v>19</v>
      </c>
      <c r="M19" s="221">
        <f>SUM(M17:M18)</f>
        <v>55000</v>
      </c>
      <c r="O19" s="221">
        <f>SUM(O17:O18)</f>
        <v>17288.650000000001</v>
      </c>
      <c r="P19" s="221">
        <f>SUM(P17:P18)</f>
        <v>0</v>
      </c>
      <c r="Q19" s="217"/>
    </row>
    <row r="20" spans="1:21" ht="24.95" customHeight="1" x14ac:dyDescent="0.2">
      <c r="A20" s="99" t="s">
        <v>695</v>
      </c>
      <c r="D20" s="42" t="s">
        <v>19</v>
      </c>
      <c r="E20" s="222">
        <f>+E14-E19</f>
        <v>-9676</v>
      </c>
      <c r="F20" s="42" t="s">
        <v>19</v>
      </c>
      <c r="G20" s="222">
        <f>+G14-G19</f>
        <v>6936</v>
      </c>
      <c r="H20" s="42" t="s">
        <v>19</v>
      </c>
      <c r="I20" s="222">
        <f>+I14-I19</f>
        <v>-58468</v>
      </c>
      <c r="J20" s="42" t="s">
        <v>19</v>
      </c>
      <c r="K20" s="222">
        <f>+K14-K19</f>
        <v>0</v>
      </c>
      <c r="L20" s="42" t="s">
        <v>19</v>
      </c>
      <c r="M20" s="222">
        <f>+M14-M19</f>
        <v>-55000</v>
      </c>
      <c r="O20" s="222">
        <f>+O14-O19</f>
        <v>-9675.4700000000012</v>
      </c>
      <c r="P20" s="222">
        <f>+P14-P19</f>
        <v>4235.91</v>
      </c>
      <c r="Q20" s="222"/>
    </row>
    <row r="21" spans="1:21" ht="24.95" customHeight="1" x14ac:dyDescent="0.2">
      <c r="A21" s="99" t="s">
        <v>696</v>
      </c>
      <c r="B21" s="223"/>
      <c r="C21" s="223"/>
      <c r="D21" s="224"/>
      <c r="E21" s="222"/>
      <c r="F21" s="222"/>
      <c r="G21" s="222"/>
      <c r="H21" s="222"/>
      <c r="I21" s="222"/>
      <c r="J21" s="222"/>
      <c r="K21" s="222"/>
      <c r="L21" s="222"/>
      <c r="M21" s="222"/>
      <c r="O21" s="222"/>
      <c r="P21" s="222"/>
      <c r="Q21" s="222"/>
    </row>
    <row r="22" spans="1:21" ht="15" customHeight="1" x14ac:dyDescent="0.2">
      <c r="A22" s="179" t="s">
        <v>697</v>
      </c>
      <c r="B22" s="225"/>
      <c r="C22" s="225"/>
      <c r="D22" s="181"/>
      <c r="E22" s="226">
        <v>113468</v>
      </c>
      <c r="F22" s="227"/>
      <c r="G22" s="226">
        <f>+E24</f>
        <v>103792</v>
      </c>
      <c r="H22" s="227"/>
      <c r="I22" s="226">
        <f>+G24</f>
        <v>110728</v>
      </c>
      <c r="J22" s="227"/>
      <c r="K22" s="226">
        <f>+I22</f>
        <v>110728</v>
      </c>
      <c r="L22" s="227"/>
      <c r="M22" s="226">
        <f>+K24</f>
        <v>110728</v>
      </c>
      <c r="O22" s="226">
        <v>264577</v>
      </c>
      <c r="P22" s="226">
        <f>+N24</f>
        <v>0</v>
      </c>
      <c r="Q22" s="228"/>
    </row>
    <row r="23" spans="1:21" ht="15" hidden="1" customHeight="1" x14ac:dyDescent="0.2">
      <c r="A23" s="179"/>
      <c r="B23" s="225"/>
      <c r="C23" s="225"/>
      <c r="D23" s="181"/>
      <c r="E23" s="228"/>
      <c r="F23" s="227"/>
      <c r="G23" s="228"/>
      <c r="H23" s="227"/>
      <c r="I23" s="228"/>
      <c r="J23" s="227"/>
      <c r="K23" s="228"/>
      <c r="L23" s="227"/>
      <c r="M23" s="228"/>
      <c r="O23" s="228"/>
      <c r="P23" s="228"/>
      <c r="Q23" s="228"/>
    </row>
    <row r="24" spans="1:21" ht="24.95" customHeight="1" thickBot="1" x14ac:dyDescent="0.25">
      <c r="A24" s="179" t="s">
        <v>698</v>
      </c>
      <c r="D24" s="42" t="s">
        <v>19</v>
      </c>
      <c r="E24" s="229">
        <f>SUM(E20:E23)</f>
        <v>103792</v>
      </c>
      <c r="F24" s="42" t="s">
        <v>19</v>
      </c>
      <c r="G24" s="229">
        <f t="shared" ref="G24:P24" si="1">SUM(G20:G23)</f>
        <v>110728</v>
      </c>
      <c r="H24" s="42" t="s">
        <v>19</v>
      </c>
      <c r="I24" s="229">
        <f t="shared" si="1"/>
        <v>52260</v>
      </c>
      <c r="J24" s="42" t="s">
        <v>19</v>
      </c>
      <c r="K24" s="229">
        <f t="shared" si="1"/>
        <v>110728</v>
      </c>
      <c r="L24" s="42" t="s">
        <v>19</v>
      </c>
      <c r="M24" s="229">
        <f>SUM(M20:M23)</f>
        <v>55728</v>
      </c>
      <c r="N24" s="229"/>
      <c r="O24" s="229">
        <f t="shared" si="1"/>
        <v>254901.53</v>
      </c>
      <c r="P24" s="229">
        <f t="shared" si="1"/>
        <v>4235.91</v>
      </c>
      <c r="Q24" s="230"/>
    </row>
    <row r="25" spans="1:21" ht="12.75" thickTop="1" x14ac:dyDescent="0.2">
      <c r="D25" s="183"/>
      <c r="E25" s="183"/>
      <c r="G25" s="183"/>
      <c r="I25" s="183"/>
      <c r="K25" s="183"/>
      <c r="M25" s="183"/>
    </row>
    <row r="26" spans="1:21" hidden="1" x14ac:dyDescent="0.2">
      <c r="D26" s="183"/>
      <c r="E26" s="183">
        <v>211427</v>
      </c>
      <c r="G26" s="183">
        <v>211427</v>
      </c>
      <c r="I26" s="183">
        <v>0</v>
      </c>
      <c r="K26" s="183">
        <v>0</v>
      </c>
      <c r="M26" s="183">
        <v>0</v>
      </c>
    </row>
    <row r="27" spans="1:21" hidden="1" x14ac:dyDescent="0.2">
      <c r="D27" s="183"/>
      <c r="E27" s="183">
        <f>+E24-E26</f>
        <v>-107635</v>
      </c>
      <c r="G27" s="183">
        <f>+G24-G26</f>
        <v>-100699</v>
      </c>
      <c r="I27" s="183">
        <f>+I24-I26</f>
        <v>52260</v>
      </c>
      <c r="J27" s="144"/>
      <c r="K27" s="145"/>
      <c r="L27" s="144"/>
      <c r="M27" s="145"/>
    </row>
    <row r="28" spans="1:21" hidden="1" x14ac:dyDescent="0.2">
      <c r="D28" s="183"/>
      <c r="E28" s="183"/>
      <c r="G28" s="183"/>
      <c r="I28" s="145"/>
      <c r="J28" s="144"/>
      <c r="K28" s="145"/>
      <c r="L28" s="144"/>
      <c r="M28" s="145"/>
    </row>
    <row r="29" spans="1:21" hidden="1" x14ac:dyDescent="0.2">
      <c r="D29" s="183"/>
      <c r="E29" s="183"/>
      <c r="G29" s="183"/>
      <c r="I29" s="145"/>
      <c r="J29" s="144"/>
      <c r="K29" s="145"/>
      <c r="L29" s="144"/>
      <c r="M29" s="145"/>
    </row>
    <row r="30" spans="1:21" x14ac:dyDescent="0.2">
      <c r="D30" s="183"/>
      <c r="E30" s="183"/>
      <c r="G30" s="183"/>
      <c r="I30" s="145"/>
      <c r="J30" s="144"/>
      <c r="K30" s="145"/>
      <c r="L30" s="144"/>
      <c r="M30" s="145"/>
    </row>
    <row r="31" spans="1:21" x14ac:dyDescent="0.2">
      <c r="D31" s="183"/>
      <c r="E31" s="183"/>
      <c r="G31" s="183"/>
      <c r="I31" s="145"/>
      <c r="J31" s="144"/>
      <c r="K31" s="145"/>
      <c r="L31" s="144"/>
      <c r="M31" s="145"/>
    </row>
    <row r="32" spans="1:21" x14ac:dyDescent="0.2">
      <c r="D32" s="183"/>
      <c r="E32" s="183"/>
      <c r="G32" s="183"/>
      <c r="I32" s="145"/>
      <c r="J32" s="144"/>
      <c r="K32" s="145"/>
      <c r="L32" s="144"/>
      <c r="M32" s="145"/>
    </row>
    <row r="33" spans="1:13" x14ac:dyDescent="0.2">
      <c r="D33" s="183"/>
      <c r="E33" s="183"/>
      <c r="G33" s="183"/>
      <c r="I33" s="183"/>
      <c r="K33" s="183"/>
      <c r="M33" s="183"/>
    </row>
    <row r="34" spans="1:13" x14ac:dyDescent="0.2">
      <c r="D34" s="183"/>
      <c r="E34" s="183"/>
      <c r="G34" s="183"/>
      <c r="I34" s="183"/>
      <c r="K34" s="183"/>
      <c r="M34" s="183"/>
    </row>
    <row r="35" spans="1:13" x14ac:dyDescent="0.2">
      <c r="D35" s="144"/>
      <c r="E35" s="145"/>
      <c r="G35" s="145"/>
      <c r="I35" s="145"/>
      <c r="K35" s="145"/>
      <c r="M35" s="145"/>
    </row>
    <row r="36" spans="1:13" x14ac:dyDescent="0.2">
      <c r="D36" s="144"/>
      <c r="E36" s="145"/>
      <c r="G36" s="145"/>
      <c r="I36" s="145"/>
      <c r="K36" s="145"/>
      <c r="M36" s="145"/>
    </row>
    <row r="37" spans="1:13" x14ac:dyDescent="0.2">
      <c r="D37" s="144"/>
      <c r="E37" s="145"/>
      <c r="F37" s="144"/>
      <c r="G37" s="145"/>
      <c r="H37" s="144"/>
      <c r="I37" s="145"/>
      <c r="J37" s="144"/>
      <c r="K37" s="145"/>
      <c r="L37" s="144"/>
      <c r="M37" s="145"/>
    </row>
    <row r="38" spans="1:13" x14ac:dyDescent="0.2">
      <c r="D38" s="144"/>
      <c r="E38" s="145"/>
      <c r="F38" s="144"/>
      <c r="G38" s="145"/>
      <c r="H38" s="144"/>
      <c r="I38" s="145"/>
      <c r="J38" s="144"/>
      <c r="K38" s="145"/>
      <c r="L38" s="144"/>
      <c r="M38" s="145"/>
    </row>
    <row r="39" spans="1:13" x14ac:dyDescent="0.2">
      <c r="D39" s="144"/>
      <c r="E39" s="145"/>
      <c r="F39" s="144"/>
      <c r="G39" s="145"/>
      <c r="H39" s="144"/>
      <c r="I39" s="145"/>
      <c r="J39" s="144"/>
      <c r="K39" s="145"/>
      <c r="L39" s="144"/>
      <c r="M39" s="145"/>
    </row>
    <row r="40" spans="1:13" x14ac:dyDescent="0.2">
      <c r="D40" s="183"/>
      <c r="E40" s="183"/>
      <c r="F40" s="144"/>
      <c r="G40" s="183"/>
      <c r="H40" s="144"/>
      <c r="I40" s="145"/>
      <c r="J40" s="144"/>
      <c r="K40" s="145"/>
      <c r="L40" s="144"/>
      <c r="M40" s="145"/>
    </row>
    <row r="41" spans="1:13" x14ac:dyDescent="0.2">
      <c r="A41" s="145"/>
      <c r="B41" s="145"/>
      <c r="C41" s="145"/>
      <c r="D41" s="144"/>
      <c r="E41" s="145"/>
      <c r="F41" s="144"/>
      <c r="G41" s="145"/>
      <c r="H41" s="144"/>
      <c r="I41" s="145"/>
      <c r="J41" s="144"/>
      <c r="K41" s="145"/>
      <c r="L41" s="144"/>
      <c r="M41" s="145"/>
    </row>
    <row r="42" spans="1:13" x14ac:dyDescent="0.2">
      <c r="D42" s="183"/>
      <c r="E42" s="183"/>
      <c r="F42" s="144"/>
      <c r="G42" s="183"/>
      <c r="H42" s="144"/>
      <c r="I42" s="145"/>
      <c r="J42" s="144"/>
      <c r="K42" s="145"/>
      <c r="L42" s="144"/>
      <c r="M42" s="145"/>
    </row>
    <row r="43" spans="1:13" x14ac:dyDescent="0.2">
      <c r="D43" s="183"/>
      <c r="E43" s="183"/>
      <c r="F43" s="144"/>
      <c r="G43" s="183"/>
      <c r="H43" s="144"/>
      <c r="I43" s="183"/>
      <c r="J43" s="144"/>
      <c r="K43" s="183"/>
      <c r="L43" s="144"/>
      <c r="M43" s="145"/>
    </row>
    <row r="44" spans="1:13" x14ac:dyDescent="0.2">
      <c r="D44" s="183"/>
      <c r="E44" s="185"/>
      <c r="F44" s="144"/>
      <c r="G44" s="185"/>
      <c r="H44" s="144"/>
      <c r="I44" s="183"/>
      <c r="J44" s="144"/>
      <c r="K44" s="183"/>
      <c r="L44" s="144"/>
      <c r="M44" s="145"/>
    </row>
    <row r="45" spans="1:13" x14ac:dyDescent="0.2">
      <c r="D45" s="144">
        <f>+D27-D33-D38</f>
        <v>0</v>
      </c>
      <c r="E45" s="145"/>
      <c r="F45" s="144"/>
      <c r="G45" s="145"/>
      <c r="H45" s="144"/>
      <c r="I45" s="145"/>
      <c r="J45" s="144"/>
      <c r="K45" s="145"/>
      <c r="L45" s="144"/>
      <c r="M45" s="145"/>
    </row>
    <row r="46" spans="1:13" x14ac:dyDescent="0.2">
      <c r="D46" s="144"/>
      <c r="E46" s="145"/>
      <c r="F46" s="144"/>
      <c r="G46" s="145"/>
      <c r="H46" s="144"/>
      <c r="I46" s="145"/>
      <c r="J46" s="144"/>
      <c r="K46" s="145"/>
      <c r="L46" s="144"/>
      <c r="M46" s="145"/>
    </row>
    <row r="47" spans="1:13" x14ac:dyDescent="0.2">
      <c r="D47" s="144"/>
      <c r="E47" s="145"/>
      <c r="F47" s="144"/>
      <c r="G47" s="145"/>
      <c r="H47" s="144"/>
      <c r="I47" s="145"/>
      <c r="J47" s="144"/>
      <c r="K47" s="145"/>
      <c r="L47" s="144"/>
      <c r="M47" s="145"/>
    </row>
    <row r="48" spans="1:13" x14ac:dyDescent="0.2">
      <c r="D48" s="183"/>
      <c r="E48" s="183"/>
      <c r="F48" s="144"/>
      <c r="G48" s="183"/>
      <c r="H48" s="144"/>
      <c r="I48" s="183"/>
      <c r="J48" s="144"/>
      <c r="K48" s="183"/>
      <c r="L48" s="144"/>
      <c r="M48" s="145"/>
    </row>
    <row r="49" spans="4:13" x14ac:dyDescent="0.2">
      <c r="D49" s="183"/>
      <c r="E49" s="183"/>
      <c r="F49" s="144"/>
      <c r="G49" s="183"/>
      <c r="H49" s="144"/>
      <c r="I49" s="185"/>
      <c r="J49" s="144"/>
      <c r="K49" s="185"/>
      <c r="L49" s="144"/>
      <c r="M49" s="145"/>
    </row>
    <row r="50" spans="4:13" x14ac:dyDescent="0.2">
      <c r="D50" s="144"/>
      <c r="E50" s="145"/>
      <c r="F50" s="144"/>
      <c r="G50" s="145"/>
      <c r="H50" s="144"/>
      <c r="I50" s="145"/>
      <c r="J50" s="144"/>
      <c r="K50" s="145"/>
      <c r="L50" s="144"/>
      <c r="M50" s="145"/>
    </row>
    <row r="51" spans="4:13" x14ac:dyDescent="0.2">
      <c r="D51" s="183"/>
      <c r="E51" s="183"/>
      <c r="F51" s="144"/>
      <c r="G51" s="183"/>
      <c r="H51" s="144"/>
      <c r="I51" s="183"/>
      <c r="J51" s="144"/>
      <c r="K51" s="183"/>
      <c r="L51" s="144"/>
      <c r="M51" s="145"/>
    </row>
    <row r="52" spans="4:13" x14ac:dyDescent="0.2">
      <c r="D52" s="144"/>
      <c r="E52" s="145"/>
      <c r="F52" s="144"/>
      <c r="G52" s="145"/>
      <c r="H52" s="144"/>
      <c r="I52" s="145"/>
      <c r="J52" s="144"/>
      <c r="K52" s="145"/>
      <c r="L52" s="144"/>
      <c r="M52" s="145"/>
    </row>
    <row r="53" spans="4:13" x14ac:dyDescent="0.2">
      <c r="D53" s="183"/>
      <c r="E53" s="183"/>
      <c r="F53" s="144"/>
      <c r="G53" s="183"/>
      <c r="H53" s="144"/>
      <c r="I53" s="183"/>
      <c r="J53" s="144"/>
      <c r="K53" s="183"/>
      <c r="L53" s="144"/>
      <c r="M53" s="145"/>
    </row>
    <row r="54" spans="4:13" x14ac:dyDescent="0.2">
      <c r="D54" s="144"/>
      <c r="E54" s="145"/>
      <c r="F54" s="144"/>
      <c r="G54" s="145"/>
      <c r="H54" s="144"/>
      <c r="I54" s="183"/>
      <c r="J54" s="144"/>
      <c r="K54" s="183"/>
      <c r="L54" s="144"/>
      <c r="M54" s="145"/>
    </row>
    <row r="55" spans="4:13" x14ac:dyDescent="0.2">
      <c r="D55" s="144"/>
      <c r="E55" s="145"/>
      <c r="F55" s="144"/>
      <c r="G55" s="145"/>
      <c r="H55" s="144"/>
      <c r="I55" s="145"/>
      <c r="J55" s="144"/>
      <c r="K55" s="145"/>
      <c r="L55" s="144"/>
      <c r="M55" s="145"/>
    </row>
    <row r="56" spans="4:13" x14ac:dyDescent="0.2">
      <c r="D56" s="144"/>
      <c r="E56" s="145"/>
      <c r="F56" s="144"/>
      <c r="G56" s="145"/>
      <c r="H56" s="144"/>
      <c r="I56" s="145"/>
      <c r="J56" s="144"/>
      <c r="K56" s="145"/>
      <c r="L56" s="144"/>
      <c r="M56" s="145"/>
    </row>
    <row r="57" spans="4:13" x14ac:dyDescent="0.2">
      <c r="D57" s="144"/>
      <c r="E57" s="145"/>
      <c r="F57" s="144"/>
      <c r="G57" s="145"/>
      <c r="H57" s="144"/>
      <c r="I57" s="145"/>
      <c r="J57" s="144"/>
      <c r="K57" s="145"/>
      <c r="L57" s="144"/>
      <c r="M57" s="145"/>
    </row>
    <row r="58" spans="4:13" x14ac:dyDescent="0.2">
      <c r="D58" s="183"/>
      <c r="E58" s="183"/>
      <c r="F58" s="144"/>
      <c r="G58" s="183"/>
      <c r="H58" s="144"/>
      <c r="I58" s="183"/>
      <c r="J58" s="144"/>
      <c r="K58" s="183"/>
      <c r="L58" s="144"/>
      <c r="M58" s="145"/>
    </row>
    <row r="59" spans="4:13" x14ac:dyDescent="0.2">
      <c r="D59" s="144"/>
      <c r="E59" s="145"/>
      <c r="F59" s="144"/>
      <c r="G59" s="145"/>
      <c r="H59" s="144"/>
      <c r="I59" s="183"/>
      <c r="J59" s="144"/>
      <c r="K59" s="183"/>
      <c r="L59" s="144"/>
      <c r="M59" s="145"/>
    </row>
    <row r="60" spans="4:13" x14ac:dyDescent="0.2">
      <c r="D60" s="144"/>
      <c r="E60" s="145"/>
      <c r="F60" s="144"/>
      <c r="G60" s="145"/>
      <c r="H60" s="144"/>
      <c r="I60" s="183"/>
      <c r="J60" s="144"/>
      <c r="K60" s="183"/>
      <c r="L60" s="144"/>
      <c r="M60" s="145"/>
    </row>
    <row r="61" spans="4:13" x14ac:dyDescent="0.2">
      <c r="D61" s="144"/>
      <c r="E61" s="145"/>
      <c r="F61" s="144"/>
      <c r="G61" s="145"/>
      <c r="H61" s="144"/>
      <c r="I61" s="145"/>
      <c r="J61" s="144"/>
      <c r="K61" s="145"/>
      <c r="L61" s="144"/>
      <c r="M61" s="145"/>
    </row>
    <row r="62" spans="4:13" x14ac:dyDescent="0.2">
      <c r="D62" s="183"/>
      <c r="E62" s="183"/>
      <c r="F62" s="144"/>
      <c r="G62" s="183"/>
      <c r="H62" s="144"/>
      <c r="I62" s="183"/>
      <c r="J62" s="144"/>
      <c r="K62" s="183"/>
      <c r="L62" s="144"/>
      <c r="M62" s="145"/>
    </row>
    <row r="63" spans="4:13" x14ac:dyDescent="0.2">
      <c r="D63" s="144"/>
      <c r="E63" s="145"/>
      <c r="F63" s="144"/>
      <c r="G63" s="145"/>
      <c r="H63" s="144"/>
      <c r="I63" s="145"/>
      <c r="J63" s="144"/>
      <c r="K63" s="145"/>
      <c r="L63" s="144"/>
      <c r="M63" s="145"/>
    </row>
    <row r="64" spans="4:13" x14ac:dyDescent="0.2">
      <c r="D64" s="144"/>
      <c r="E64" s="145"/>
      <c r="F64" s="144"/>
      <c r="G64" s="145"/>
      <c r="H64" s="144"/>
      <c r="I64" s="145"/>
      <c r="J64" s="144"/>
      <c r="K64" s="145"/>
      <c r="L64" s="144"/>
      <c r="M64" s="145"/>
    </row>
    <row r="65" spans="4:13" x14ac:dyDescent="0.2">
      <c r="D65" s="183"/>
      <c r="E65" s="183"/>
      <c r="F65" s="144"/>
      <c r="G65" s="183"/>
      <c r="H65" s="144"/>
      <c r="I65" s="183"/>
      <c r="J65" s="144"/>
      <c r="K65" s="183"/>
      <c r="L65" s="144"/>
      <c r="M65" s="145"/>
    </row>
    <row r="66" spans="4:13" x14ac:dyDescent="0.2">
      <c r="D66" s="183"/>
      <c r="E66" s="183"/>
      <c r="F66" s="144"/>
      <c r="G66" s="183"/>
      <c r="H66" s="144"/>
      <c r="I66" s="145"/>
      <c r="J66" s="144"/>
      <c r="K66" s="145"/>
      <c r="L66" s="144"/>
      <c r="M66" s="145"/>
    </row>
    <row r="67" spans="4:13" x14ac:dyDescent="0.2">
      <c r="D67" s="183"/>
      <c r="E67" s="185"/>
      <c r="F67" s="144"/>
      <c r="G67" s="185"/>
      <c r="H67" s="144"/>
      <c r="I67" s="183"/>
      <c r="J67" s="144"/>
      <c r="K67" s="183"/>
      <c r="L67" s="144"/>
      <c r="M67" s="145"/>
    </row>
    <row r="68" spans="4:13" x14ac:dyDescent="0.2">
      <c r="D68" s="144"/>
      <c r="E68" s="145"/>
      <c r="F68" s="144"/>
      <c r="G68" s="145"/>
      <c r="H68" s="144"/>
      <c r="I68" s="145"/>
      <c r="J68" s="144"/>
      <c r="K68" s="145"/>
      <c r="L68" s="144"/>
      <c r="M68" s="145"/>
    </row>
    <row r="69" spans="4:13" x14ac:dyDescent="0.2">
      <c r="D69" s="183"/>
      <c r="E69" s="183"/>
      <c r="F69" s="144"/>
      <c r="G69" s="183"/>
      <c r="H69" s="144"/>
      <c r="I69" s="183"/>
      <c r="J69" s="144"/>
      <c r="K69" s="183"/>
      <c r="L69" s="144"/>
      <c r="M69" s="145"/>
    </row>
    <row r="70" spans="4:13" x14ac:dyDescent="0.2">
      <c r="D70" s="144"/>
      <c r="E70" s="145"/>
      <c r="F70" s="144"/>
      <c r="G70" s="145"/>
      <c r="H70" s="144"/>
      <c r="I70" s="145"/>
      <c r="J70" s="144"/>
      <c r="K70" s="145"/>
      <c r="L70" s="144"/>
      <c r="M70" s="145"/>
    </row>
    <row r="71" spans="4:13" x14ac:dyDescent="0.2">
      <c r="D71" s="183"/>
      <c r="E71" s="183"/>
      <c r="F71" s="144"/>
      <c r="G71" s="183"/>
      <c r="H71" s="144"/>
      <c r="I71" s="145"/>
      <c r="J71" s="144"/>
      <c r="K71" s="145"/>
      <c r="L71" s="144"/>
      <c r="M71" s="145"/>
    </row>
    <row r="72" spans="4:13" x14ac:dyDescent="0.2">
      <c r="D72" s="144"/>
      <c r="E72" s="145"/>
      <c r="F72" s="144"/>
      <c r="G72" s="145"/>
      <c r="H72" s="144"/>
      <c r="I72" s="145"/>
      <c r="J72" s="144"/>
      <c r="K72" s="145"/>
      <c r="L72" s="144"/>
      <c r="M72" s="145"/>
    </row>
    <row r="73" spans="4:13" x14ac:dyDescent="0.2">
      <c r="D73" s="183"/>
      <c r="E73" s="183"/>
      <c r="F73" s="144"/>
      <c r="G73" s="183"/>
      <c r="H73" s="144"/>
      <c r="I73" s="183"/>
      <c r="J73" s="144"/>
      <c r="K73" s="183"/>
      <c r="L73" s="144"/>
      <c r="M73" s="145"/>
    </row>
    <row r="74" spans="4:13" x14ac:dyDescent="0.2">
      <c r="D74" s="144"/>
      <c r="E74" s="145"/>
      <c r="F74" s="144"/>
      <c r="G74" s="145"/>
      <c r="H74" s="144"/>
      <c r="I74" s="183"/>
      <c r="J74" s="144"/>
      <c r="K74" s="183"/>
      <c r="L74" s="144"/>
      <c r="M74" s="145"/>
    </row>
    <row r="75" spans="4:13" x14ac:dyDescent="0.2">
      <c r="D75" s="183"/>
      <c r="E75" s="183"/>
      <c r="F75" s="144"/>
      <c r="G75" s="183"/>
      <c r="H75" s="144"/>
      <c r="I75" s="145"/>
      <c r="J75" s="144"/>
      <c r="K75" s="145"/>
      <c r="L75" s="144"/>
      <c r="M75" s="145"/>
    </row>
    <row r="76" spans="4:13" x14ac:dyDescent="0.2">
      <c r="D76" s="144"/>
      <c r="E76" s="145"/>
      <c r="F76" s="144"/>
      <c r="G76" s="145"/>
      <c r="H76" s="144"/>
      <c r="I76" s="145"/>
      <c r="J76" s="144"/>
      <c r="K76" s="145"/>
      <c r="L76" s="144"/>
      <c r="M76" s="145"/>
    </row>
    <row r="77" spans="4:13" x14ac:dyDescent="0.2">
      <c r="D77" s="144"/>
      <c r="E77" s="145"/>
      <c r="F77" s="144"/>
      <c r="G77" s="145"/>
      <c r="H77" s="144"/>
      <c r="I77" s="183"/>
      <c r="J77" s="144"/>
      <c r="K77" s="183"/>
      <c r="L77" s="144"/>
      <c r="M77" s="145"/>
    </row>
    <row r="78" spans="4:13" x14ac:dyDescent="0.2">
      <c r="D78" s="144"/>
      <c r="E78" s="145"/>
      <c r="F78" s="144"/>
      <c r="G78" s="145"/>
      <c r="H78" s="144"/>
      <c r="I78" s="145"/>
      <c r="J78" s="144"/>
      <c r="K78" s="145"/>
      <c r="L78" s="144"/>
      <c r="M78" s="145"/>
    </row>
    <row r="79" spans="4:13" x14ac:dyDescent="0.2">
      <c r="D79" s="144"/>
      <c r="E79" s="145"/>
      <c r="F79" s="144"/>
      <c r="G79" s="145"/>
      <c r="H79" s="144"/>
      <c r="I79" s="145"/>
      <c r="J79" s="144"/>
      <c r="K79" s="145"/>
      <c r="L79" s="144"/>
      <c r="M79" s="145"/>
    </row>
    <row r="80" spans="4:13" x14ac:dyDescent="0.2">
      <c r="D80" s="144"/>
      <c r="E80" s="145"/>
      <c r="F80" s="144"/>
      <c r="G80" s="145"/>
      <c r="H80" s="144"/>
      <c r="I80" s="145"/>
      <c r="J80" s="144"/>
      <c r="K80" s="145"/>
      <c r="L80" s="144"/>
      <c r="M80" s="145"/>
    </row>
    <row r="81" spans="4:13" x14ac:dyDescent="0.2">
      <c r="D81" s="144"/>
      <c r="E81" s="145"/>
      <c r="F81" s="144"/>
      <c r="G81" s="145"/>
      <c r="H81" s="144"/>
      <c r="I81" s="145"/>
      <c r="J81" s="144"/>
      <c r="K81" s="145"/>
      <c r="L81" s="144"/>
      <c r="M81" s="145"/>
    </row>
    <row r="82" spans="4:13" x14ac:dyDescent="0.2">
      <c r="D82" s="144"/>
      <c r="E82" s="145"/>
      <c r="F82" s="144"/>
      <c r="G82" s="145"/>
      <c r="H82" s="144"/>
      <c r="I82" s="145"/>
      <c r="J82" s="144"/>
      <c r="K82" s="145"/>
      <c r="L82" s="144"/>
      <c r="M82" s="145"/>
    </row>
    <row r="84" spans="4:13" x14ac:dyDescent="0.2">
      <c r="D84" s="183"/>
      <c r="E84" s="183"/>
      <c r="F84" s="144"/>
      <c r="G84" s="183"/>
      <c r="H84" s="144"/>
      <c r="I84" s="183"/>
      <c r="J84" s="144"/>
      <c r="K84" s="183"/>
      <c r="L84" s="144"/>
      <c r="M84" s="145"/>
    </row>
    <row r="85" spans="4:13" x14ac:dyDescent="0.2">
      <c r="D85" s="183"/>
      <c r="E85" s="183"/>
      <c r="F85" s="144"/>
      <c r="G85" s="183"/>
      <c r="H85" s="144"/>
      <c r="I85" s="183"/>
      <c r="J85" s="144"/>
      <c r="K85" s="183"/>
      <c r="L85" s="144"/>
      <c r="M85" s="145"/>
    </row>
    <row r="86" spans="4:13" x14ac:dyDescent="0.2">
      <c r="D86" s="183"/>
      <c r="E86" s="183"/>
      <c r="F86" s="144"/>
      <c r="G86" s="183"/>
      <c r="H86" s="144"/>
      <c r="I86" s="183"/>
      <c r="J86" s="144"/>
      <c r="K86" s="183"/>
      <c r="L86" s="144"/>
      <c r="M86" s="145"/>
    </row>
    <row r="87" spans="4:13" x14ac:dyDescent="0.2">
      <c r="D87" s="183"/>
      <c r="E87" s="183"/>
      <c r="F87" s="144"/>
      <c r="G87" s="183"/>
      <c r="H87" s="144"/>
      <c r="I87" s="183"/>
      <c r="J87" s="144"/>
      <c r="K87" s="183"/>
      <c r="L87" s="144"/>
      <c r="M87" s="145"/>
    </row>
    <row r="88" spans="4:13" x14ac:dyDescent="0.2">
      <c r="D88" s="183"/>
      <c r="E88" s="183"/>
      <c r="F88" s="144"/>
      <c r="G88" s="183"/>
      <c r="H88" s="144"/>
      <c r="I88" s="183"/>
      <c r="J88" s="144"/>
      <c r="K88" s="183"/>
      <c r="L88" s="144"/>
      <c r="M88" s="145"/>
    </row>
    <row r="89" spans="4:13" x14ac:dyDescent="0.2">
      <c r="D89" s="183"/>
      <c r="E89" s="183"/>
      <c r="F89" s="144"/>
      <c r="G89" s="183"/>
      <c r="H89" s="144"/>
      <c r="I89" s="183"/>
      <c r="J89" s="144"/>
      <c r="K89" s="183"/>
      <c r="L89" s="144"/>
      <c r="M89" s="145"/>
    </row>
    <row r="90" spans="4:13" x14ac:dyDescent="0.2">
      <c r="D90" s="183"/>
      <c r="E90" s="183"/>
      <c r="F90" s="144"/>
      <c r="G90" s="183"/>
      <c r="H90" s="144"/>
      <c r="I90" s="183"/>
      <c r="J90" s="144"/>
      <c r="K90" s="183"/>
      <c r="L90" s="144"/>
      <c r="M90" s="145"/>
    </row>
    <row r="91" spans="4:13" x14ac:dyDescent="0.2">
      <c r="D91" s="183"/>
      <c r="E91" s="183"/>
      <c r="F91" s="144"/>
      <c r="G91" s="183"/>
      <c r="H91" s="144"/>
      <c r="I91" s="183"/>
      <c r="J91" s="144"/>
      <c r="K91" s="183"/>
      <c r="L91" s="144"/>
      <c r="M91" s="145"/>
    </row>
    <row r="92" spans="4:13" x14ac:dyDescent="0.2">
      <c r="D92" s="183"/>
      <c r="E92" s="183"/>
      <c r="F92" s="144"/>
      <c r="G92" s="183"/>
      <c r="H92" s="144"/>
      <c r="I92" s="183"/>
      <c r="J92" s="144"/>
      <c r="K92" s="183"/>
      <c r="L92" s="144"/>
      <c r="M92" s="145"/>
    </row>
    <row r="93" spans="4:13" x14ac:dyDescent="0.2">
      <c r="D93" s="183"/>
      <c r="E93" s="183"/>
      <c r="F93" s="144"/>
      <c r="G93" s="183"/>
      <c r="H93" s="144"/>
      <c r="I93" s="183"/>
      <c r="J93" s="144"/>
      <c r="K93" s="183"/>
      <c r="L93" s="144"/>
      <c r="M93" s="145"/>
    </row>
    <row r="94" spans="4:13" x14ac:dyDescent="0.2">
      <c r="D94" s="183"/>
      <c r="E94" s="183"/>
      <c r="F94" s="144"/>
      <c r="G94" s="183"/>
      <c r="H94" s="144"/>
      <c r="I94" s="183"/>
      <c r="J94" s="144"/>
      <c r="K94" s="183"/>
      <c r="L94" s="144"/>
      <c r="M94" s="145"/>
    </row>
    <row r="95" spans="4:13" x14ac:dyDescent="0.2">
      <c r="D95" s="183"/>
      <c r="E95" s="183"/>
      <c r="F95" s="144"/>
      <c r="G95" s="183"/>
      <c r="H95" s="144"/>
      <c r="I95" s="183"/>
      <c r="J95" s="144"/>
      <c r="K95" s="183"/>
      <c r="L95" s="144"/>
      <c r="M95" s="145"/>
    </row>
    <row r="96" spans="4:13" x14ac:dyDescent="0.2">
      <c r="D96" s="183"/>
      <c r="E96" s="183"/>
      <c r="F96" s="144"/>
      <c r="G96" s="183"/>
      <c r="H96" s="144"/>
      <c r="I96" s="183"/>
      <c r="J96" s="144"/>
      <c r="K96" s="183"/>
      <c r="L96" s="144"/>
      <c r="M96" s="145"/>
    </row>
    <row r="97" spans="4:13" x14ac:dyDescent="0.2">
      <c r="D97" s="183"/>
      <c r="E97" s="183"/>
      <c r="F97" s="144"/>
      <c r="G97" s="183"/>
      <c r="H97" s="144"/>
      <c r="I97" s="183"/>
      <c r="J97" s="144"/>
      <c r="K97" s="183"/>
      <c r="L97" s="144"/>
      <c r="M97" s="145"/>
    </row>
    <row r="98" spans="4:13" x14ac:dyDescent="0.2">
      <c r="D98" s="183"/>
      <c r="E98" s="183"/>
      <c r="F98" s="144"/>
      <c r="G98" s="183"/>
      <c r="H98" s="144"/>
      <c r="I98" s="183"/>
      <c r="J98" s="144"/>
      <c r="K98" s="183"/>
      <c r="L98" s="144"/>
      <c r="M98" s="145"/>
    </row>
    <row r="99" spans="4:13" x14ac:dyDescent="0.2">
      <c r="D99" s="183"/>
      <c r="E99" s="183"/>
      <c r="F99" s="144"/>
      <c r="G99" s="183"/>
      <c r="H99" s="144"/>
      <c r="I99" s="183"/>
      <c r="J99" s="144"/>
      <c r="K99" s="183"/>
      <c r="L99" s="144"/>
      <c r="M99" s="145"/>
    </row>
    <row r="100" spans="4:13" x14ac:dyDescent="0.2">
      <c r="D100" s="183"/>
      <c r="E100" s="183"/>
      <c r="F100" s="144"/>
      <c r="G100" s="183"/>
      <c r="H100" s="144"/>
      <c r="I100" s="183"/>
      <c r="J100" s="144"/>
      <c r="K100" s="183"/>
      <c r="L100" s="144"/>
      <c r="M100" s="145"/>
    </row>
    <row r="101" spans="4:13" x14ac:dyDescent="0.2">
      <c r="D101" s="183"/>
      <c r="E101" s="183"/>
      <c r="F101" s="144"/>
      <c r="G101" s="183"/>
      <c r="H101" s="144"/>
      <c r="I101" s="183"/>
      <c r="J101" s="144"/>
      <c r="K101" s="183"/>
      <c r="L101" s="144"/>
      <c r="M101" s="145"/>
    </row>
    <row r="102" spans="4:13" x14ac:dyDescent="0.2">
      <c r="D102" s="183"/>
      <c r="E102" s="183"/>
      <c r="F102" s="144"/>
      <c r="G102" s="183"/>
      <c r="H102" s="144"/>
      <c r="I102" s="183"/>
      <c r="J102" s="144"/>
      <c r="K102" s="183"/>
      <c r="L102" s="144"/>
      <c r="M102" s="145"/>
    </row>
    <row r="103" spans="4:13" x14ac:dyDescent="0.2">
      <c r="D103" s="183"/>
      <c r="E103" s="183"/>
      <c r="F103" s="144"/>
      <c r="G103" s="183"/>
      <c r="H103" s="144"/>
      <c r="I103" s="183"/>
      <c r="J103" s="144"/>
      <c r="K103" s="183"/>
      <c r="L103" s="144"/>
      <c r="M103" s="145"/>
    </row>
    <row r="104" spans="4:13" x14ac:dyDescent="0.2">
      <c r="D104" s="183"/>
      <c r="E104" s="183"/>
      <c r="F104" s="144"/>
      <c r="G104" s="183"/>
      <c r="H104" s="144"/>
      <c r="I104" s="183"/>
      <c r="J104" s="144"/>
      <c r="K104" s="183"/>
      <c r="L104" s="144"/>
      <c r="M104" s="145"/>
    </row>
    <row r="105" spans="4:13" x14ac:dyDescent="0.2">
      <c r="D105" s="183"/>
      <c r="E105" s="183"/>
      <c r="F105" s="144"/>
      <c r="G105" s="183"/>
      <c r="H105" s="144"/>
      <c r="I105" s="183"/>
      <c r="J105" s="144"/>
      <c r="K105" s="183"/>
      <c r="L105" s="144"/>
      <c r="M105" s="145"/>
    </row>
    <row r="106" spans="4:13" x14ac:dyDescent="0.2">
      <c r="D106" s="144"/>
      <c r="E106" s="145"/>
      <c r="F106" s="144"/>
      <c r="G106" s="145"/>
      <c r="H106" s="144"/>
      <c r="I106" s="145"/>
      <c r="J106" s="144"/>
      <c r="K106" s="145"/>
      <c r="L106" s="144"/>
      <c r="M106" s="145"/>
    </row>
    <row r="107" spans="4:13" x14ac:dyDescent="0.2">
      <c r="D107" s="144"/>
      <c r="E107" s="145"/>
      <c r="G107" s="145"/>
      <c r="I107" s="145"/>
      <c r="K107" s="145"/>
      <c r="M107" s="145"/>
    </row>
    <row r="108" spans="4:13" x14ac:dyDescent="0.2">
      <c r="D108" s="144"/>
      <c r="E108" s="145"/>
      <c r="F108" s="144"/>
      <c r="G108" s="145"/>
      <c r="H108" s="144"/>
      <c r="I108" s="145"/>
      <c r="J108" s="144"/>
      <c r="K108" s="145"/>
      <c r="L108" s="144"/>
      <c r="M108" s="145"/>
    </row>
    <row r="109" spans="4:13" x14ac:dyDescent="0.2">
      <c r="D109" s="144"/>
      <c r="E109" s="145"/>
      <c r="F109" s="144"/>
      <c r="G109" s="145"/>
      <c r="H109" s="144"/>
      <c r="I109" s="145"/>
      <c r="J109" s="144"/>
      <c r="K109" s="145"/>
      <c r="L109" s="144"/>
      <c r="M109" s="145"/>
    </row>
  </sheetData>
  <mergeCells count="6">
    <mergeCell ref="A1:M1"/>
    <mergeCell ref="A2:M2"/>
    <mergeCell ref="A4:M4"/>
    <mergeCell ref="A5:M5"/>
    <mergeCell ref="A6:M6"/>
    <mergeCell ref="I9:K9"/>
  </mergeCells>
  <printOptions horizontalCentered="1"/>
  <pageMargins left="0.75" right="0.5" top="0.5" bottom="0.5" header="0.5" footer="0.5"/>
  <pageSetup scale="95" firstPageNumber="5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25</vt:i4>
      </vt:variant>
    </vt:vector>
  </HeadingPairs>
  <TitlesOfParts>
    <vt:vector size="38" baseType="lpstr">
      <vt:lpstr> 911 Admin</vt:lpstr>
      <vt:lpstr>912 Eastmonte</vt:lpstr>
      <vt:lpstr> 913 Merrill</vt:lpstr>
      <vt:lpstr> 914 Westmonte</vt:lpstr>
      <vt:lpstr>916 Alta Rec</vt:lpstr>
      <vt:lpstr>908 Brantley</vt:lpstr>
      <vt:lpstr>909 Lotus</vt:lpstr>
      <vt:lpstr>920 Park Rangers</vt:lpstr>
      <vt:lpstr>315 Rec Impact</vt:lpstr>
      <vt:lpstr>903 PLM&amp;O</vt:lpstr>
      <vt:lpstr>904 Fleet</vt:lpstr>
      <vt:lpstr>907 Facilities</vt:lpstr>
      <vt:lpstr>011 Tree Bank Fund</vt:lpstr>
      <vt:lpstr>' 911 Admin'!Print_Area</vt:lpstr>
      <vt:lpstr>' 913 Merrill'!Print_Area</vt:lpstr>
      <vt:lpstr>' 914 Westmonte'!Print_Area</vt:lpstr>
      <vt:lpstr>'011 Tree Bank Fund'!Print_Area</vt:lpstr>
      <vt:lpstr>'315 Rec Impact'!Print_Area</vt:lpstr>
      <vt:lpstr>'903 PLM&amp;O'!Print_Area</vt:lpstr>
      <vt:lpstr>'904 Fleet'!Print_Area</vt:lpstr>
      <vt:lpstr>'907 Facilities'!Print_Area</vt:lpstr>
      <vt:lpstr>'908 Brantley'!Print_Area</vt:lpstr>
      <vt:lpstr>'909 Lotus'!Print_Area</vt:lpstr>
      <vt:lpstr>'912 Eastmonte'!Print_Area</vt:lpstr>
      <vt:lpstr>'916 Alta Rec'!Print_Area</vt:lpstr>
      <vt:lpstr>'920 Park Rangers'!Print_Area</vt:lpstr>
      <vt:lpstr>' 911 Admin'!Print_Titles</vt:lpstr>
      <vt:lpstr>' 913 Merrill'!Print_Titles</vt:lpstr>
      <vt:lpstr>' 914 Westmonte'!Print_Titles</vt:lpstr>
      <vt:lpstr>'315 Rec Impact'!Print_Titles</vt:lpstr>
      <vt:lpstr>'903 PLM&amp;O'!Print_Titles</vt:lpstr>
      <vt:lpstr>'904 Fleet'!Print_Titles</vt:lpstr>
      <vt:lpstr>'907 Facilities'!Print_Titles</vt:lpstr>
      <vt:lpstr>'908 Brantley'!Print_Titles</vt:lpstr>
      <vt:lpstr>'909 Lotus'!Print_Titles</vt:lpstr>
      <vt:lpstr>'912 Eastmonte'!Print_Titles</vt:lpstr>
      <vt:lpstr>'916 Alta Rec'!Print_Titles</vt:lpstr>
      <vt:lpstr>'920 Park Rangers'!Print_Titles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Elliott</dc:creator>
  <cp:lastModifiedBy>Chad Elliott</cp:lastModifiedBy>
  <dcterms:created xsi:type="dcterms:W3CDTF">2026-02-02T15:19:12Z</dcterms:created>
  <dcterms:modified xsi:type="dcterms:W3CDTF">2026-02-02T15:29:32Z</dcterms:modified>
</cp:coreProperties>
</file>